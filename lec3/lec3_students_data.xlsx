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수입원자재 재고관리" sheetId="1" r:id="rId5"/>
    <sheet name="원료별 표준유통기한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<sst xmlns="http://schemas.openxmlformats.org/spreadsheetml/2006/main" uniqueCount="513">
  <si>
    <t>품목코드</t>
  </si>
  <si>
    <t>품목명</t>
  </si>
  <si>
    <t>입고수량</t>
  </si>
  <si>
    <t>수량(현재고)</t>
  </si>
  <si>
    <t>월평균판매량</t>
  </si>
  <si>
    <t>재고보유개월</t>
  </si>
  <si>
    <t>후속물량 입고일</t>
  </si>
  <si>
    <t>후속물량 입고량</t>
  </si>
  <si>
    <t>수입단가(USD)</t>
  </si>
  <si>
    <t>입고 환율</t>
  </si>
  <si>
    <t>물품 대금($)</t>
  </si>
  <si>
    <t>수입금액(₩)</t>
  </si>
  <si>
    <t>판매단가(₩)</t>
  </si>
  <si>
    <t>판매금액(₩)</t>
  </si>
  <si>
    <t>비고</t>
  </si>
  <si>
    <t>ALM-210401</t>
  </si>
  <si>
    <t>아몬드</t>
  </si>
  <si>
    <t>2026. 5. 8</t>
  </si>
  <si>
    <t>완판</t>
  </si>
  <si>
    <t>ALM-210508</t>
  </si>
  <si>
    <t>2026. 4. 15</t>
  </si>
  <si>
    <t>ALM-211210</t>
  </si>
  <si>
    <t>2026. 5. 15</t>
  </si>
  <si>
    <t>ALM-220625</t>
  </si>
  <si>
    <t>2026. 5. 5</t>
  </si>
  <si>
    <t>ALM-220810</t>
  </si>
  <si>
    <t>2026. 6. 10</t>
  </si>
  <si>
    <t>ALM-230301</t>
  </si>
  <si>
    <t>2026. 4. 20</t>
  </si>
  <si>
    <t>ALM-230625</t>
  </si>
  <si>
    <t>2026. 7. 1</t>
  </si>
  <si>
    <t>ALM-240301</t>
  </si>
  <si>
    <t>2026. 7. 20</t>
  </si>
  <si>
    <t>ALM-240310</t>
  </si>
  <si>
    <t>-</t>
  </si>
  <si>
    <t>유통기한만료(폐기): 아몬드 과잉입고</t>
  </si>
  <si>
    <t>ALM-241015</t>
  </si>
  <si>
    <t>2026. 6. 5</t>
  </si>
  <si>
    <t>ALM-250515</t>
  </si>
  <si>
    <t>2026. 4. 25</t>
  </si>
  <si>
    <t>보유중</t>
  </si>
  <si>
    <t>ALM-251025</t>
  </si>
  <si>
    <t>BPP-210125</t>
  </si>
  <si>
    <t>흑후추</t>
  </si>
  <si>
    <t>BPP-211110</t>
  </si>
  <si>
    <t>2026. 7. 10</t>
  </si>
  <si>
    <t>BPP-220220</t>
  </si>
  <si>
    <t>2026. 4. 1</t>
  </si>
  <si>
    <t>BPP-220525</t>
  </si>
  <si>
    <t>2026. 6. 15</t>
  </si>
  <si>
    <t>BPP-230705</t>
  </si>
  <si>
    <t>2026. 6. 20</t>
  </si>
  <si>
    <t>BPP-230805</t>
  </si>
  <si>
    <t>BPP-231015</t>
  </si>
  <si>
    <t>2026. 4. 8</t>
  </si>
  <si>
    <t>BPP-240115</t>
  </si>
  <si>
    <t>BPP-240325</t>
  </si>
  <si>
    <t>2026. 6. 8</t>
  </si>
  <si>
    <t>BPP-240915</t>
  </si>
  <si>
    <t>2026. 7. 15</t>
  </si>
  <si>
    <t>BPP-250825</t>
  </si>
  <si>
    <t>2026. 5. 1</t>
  </si>
  <si>
    <t>BPP-251110</t>
  </si>
  <si>
    <t>2026. 6. 25</t>
  </si>
  <si>
    <t>BYD-210305</t>
  </si>
  <si>
    <t>카카오 빈</t>
  </si>
  <si>
    <t>2026. 7. 8</t>
  </si>
  <si>
    <t>BYD-210510</t>
  </si>
  <si>
    <t>2026. 5. 20</t>
  </si>
  <si>
    <t>BYD-211025</t>
  </si>
  <si>
    <t>BYD-220701</t>
  </si>
  <si>
    <t>BYD-220810</t>
  </si>
  <si>
    <t>BYD-221120</t>
  </si>
  <si>
    <t>BYD-230615</t>
  </si>
  <si>
    <t>BYD-231110</t>
  </si>
  <si>
    <t>BYD-240201</t>
  </si>
  <si>
    <t>BYD-240310</t>
  </si>
  <si>
    <t>BYD-250315</t>
  </si>
  <si>
    <t>BYD-250525</t>
  </si>
  <si>
    <t>2026. 4. 5</t>
  </si>
  <si>
    <t>BYD-251001</t>
  </si>
  <si>
    <t>2026. 5. 10</t>
  </si>
  <si>
    <t>BYD-260105</t>
  </si>
  <si>
    <t>2026. 6. 1</t>
  </si>
  <si>
    <t>CAN-210315</t>
  </si>
  <si>
    <t>채종유 (Canola)</t>
  </si>
  <si>
    <t>CAN-210920</t>
  </si>
  <si>
    <t>CAN-220108</t>
  </si>
  <si>
    <t>CAN-220615</t>
  </si>
  <si>
    <t>CAN-220705</t>
  </si>
  <si>
    <t>CAN-230825</t>
  </si>
  <si>
    <t>CAN-231215</t>
  </si>
  <si>
    <t>CAN-240208</t>
  </si>
  <si>
    <t>CAN-240720</t>
  </si>
  <si>
    <t>CAN-240815</t>
  </si>
  <si>
    <t>2026. 5. 25</t>
  </si>
  <si>
    <t>CAN-250401</t>
  </si>
  <si>
    <t>CAN-250708</t>
  </si>
  <si>
    <t>CAN-260108</t>
  </si>
  <si>
    <t>CAS-210305</t>
  </si>
  <si>
    <t>캐슈넛</t>
  </si>
  <si>
    <t>CAS-210601</t>
  </si>
  <si>
    <t>2026. 7. 25</t>
  </si>
  <si>
    <t>CAS-211001</t>
  </si>
  <si>
    <t>CAS-220310</t>
  </si>
  <si>
    <t>2026. 7. 5</t>
  </si>
  <si>
    <t>CAS-220710</t>
  </si>
  <si>
    <t>CAS-230118</t>
  </si>
  <si>
    <t>유통기한만료(폐기): 캐슈넛 과잉발주</t>
  </si>
  <si>
    <t>CAS-230205</t>
  </si>
  <si>
    <t>CAS-230315</t>
  </si>
  <si>
    <t>CAS-230501</t>
  </si>
  <si>
    <t>CAS-240420</t>
  </si>
  <si>
    <t>CAS-240720</t>
  </si>
  <si>
    <t>CAS-241208</t>
  </si>
  <si>
    <t>CAS-250610</t>
  </si>
  <si>
    <t>CAS-250708</t>
  </si>
  <si>
    <t>CAS-251205</t>
  </si>
  <si>
    <t>CCO-210801</t>
  </si>
  <si>
    <t>코코넛유</t>
  </si>
  <si>
    <t>CCO-211120</t>
  </si>
  <si>
    <t>CCO-220401</t>
  </si>
  <si>
    <t>CCO-220605</t>
  </si>
  <si>
    <t>CCO-220801</t>
  </si>
  <si>
    <t>CCO-230915</t>
  </si>
  <si>
    <t>CCO-231105</t>
  </si>
  <si>
    <t>CCO-240115</t>
  </si>
  <si>
    <t>CCO-240710</t>
  </si>
  <si>
    <t>CCO-250501</t>
  </si>
  <si>
    <t>CCO-251025</t>
  </si>
  <si>
    <t>2026. 4. 10</t>
  </si>
  <si>
    <t>CFR-210110</t>
  </si>
  <si>
    <t>로부스타 원두</t>
  </si>
  <si>
    <t>CFR-210615</t>
  </si>
  <si>
    <t>CFR-210725</t>
  </si>
  <si>
    <t>CFR-220305</t>
  </si>
  <si>
    <t>CFR-220425</t>
  </si>
  <si>
    <t>CFR-230220</t>
  </si>
  <si>
    <t>CFR-230510</t>
  </si>
  <si>
    <t>CFR-230910</t>
  </si>
  <si>
    <t>CFR-240620</t>
  </si>
  <si>
    <t>CFR-241015</t>
  </si>
  <si>
    <t>CFR-241201</t>
  </si>
  <si>
    <t>CFR-250308</t>
  </si>
  <si>
    <t>CFR-250815</t>
  </si>
  <si>
    <t>CFR-260208</t>
  </si>
  <si>
    <t>COF-210708</t>
  </si>
  <si>
    <t>아라비카 원두</t>
  </si>
  <si>
    <t>COF-210825</t>
  </si>
  <si>
    <t>COF-211101</t>
  </si>
  <si>
    <t>COF-220310</t>
  </si>
  <si>
    <t>COF-220905</t>
  </si>
  <si>
    <t>유통기한만료(폐기): 보관온도 관리불량</t>
  </si>
  <si>
    <t>COF-220908</t>
  </si>
  <si>
    <t>COF-230308</t>
  </si>
  <si>
    <t>COF-231110</t>
  </si>
  <si>
    <t>COF-240301</t>
  </si>
  <si>
    <t>COF-240408</t>
  </si>
  <si>
    <t>COF-250620</t>
  </si>
  <si>
    <t>COF-250715</t>
  </si>
  <si>
    <t>COF-251115</t>
  </si>
  <si>
    <t>COF-260115</t>
  </si>
  <si>
    <t>COT-210110</t>
  </si>
  <si>
    <t>면화 (Cotton)</t>
  </si>
  <si>
    <t>COT-210905</t>
  </si>
  <si>
    <t>COT-211208</t>
  </si>
  <si>
    <t>COT-220215</t>
  </si>
  <si>
    <t>COT-220720</t>
  </si>
  <si>
    <t>COT-221001</t>
  </si>
  <si>
    <t>COT-230120</t>
  </si>
  <si>
    <t>COT-230705</t>
  </si>
  <si>
    <t>COT-240220</t>
  </si>
  <si>
    <t>COT-240515</t>
  </si>
  <si>
    <t>COT-240701</t>
  </si>
  <si>
    <t>COT-250308</t>
  </si>
  <si>
    <t>COT-250515</t>
  </si>
  <si>
    <t>COT-250720</t>
  </si>
  <si>
    <t>COT-260120</t>
  </si>
  <si>
    <t>CRN-210508</t>
  </si>
  <si>
    <t>옥수수 (사료용)</t>
  </si>
  <si>
    <t>CRN-210901</t>
  </si>
  <si>
    <t>CRN-220320</t>
  </si>
  <si>
    <t>CRN-220525</t>
  </si>
  <si>
    <t>CRN-230125</t>
  </si>
  <si>
    <t>CRN-231125</t>
  </si>
  <si>
    <t>CRN-240120</t>
  </si>
  <si>
    <t>CRN-240325</t>
  </si>
  <si>
    <t>CRN-240425</t>
  </si>
  <si>
    <t>CRN-250125</t>
  </si>
  <si>
    <t>CRN-250808</t>
  </si>
  <si>
    <t>FLX-210305</t>
  </si>
  <si>
    <t>아마씨 (Flaxseed)</t>
  </si>
  <si>
    <t>FLX-211025</t>
  </si>
  <si>
    <t>FLX-220815</t>
  </si>
  <si>
    <t>FLX-221101</t>
  </si>
  <si>
    <t>FLX-230201</t>
  </si>
  <si>
    <t>FLX-230601</t>
  </si>
  <si>
    <t>FLX-230620</t>
  </si>
  <si>
    <t>유통기한만료(폐기): 수요예측 실패</t>
  </si>
  <si>
    <t>FLX-240125</t>
  </si>
  <si>
    <t>FLX-240601</t>
  </si>
  <si>
    <t>FLX-251005</t>
  </si>
  <si>
    <t>FLX-251101</t>
  </si>
  <si>
    <t>FLX-251201</t>
  </si>
  <si>
    <t>GSO-210505</t>
  </si>
  <si>
    <t>포도씨유</t>
  </si>
  <si>
    <t>GSO-211110</t>
  </si>
  <si>
    <t>GSO-220305</t>
  </si>
  <si>
    <t>GSO-220410</t>
  </si>
  <si>
    <t>GSO-230208</t>
  </si>
  <si>
    <t>GSO-230508</t>
  </si>
  <si>
    <t>GSO-231208</t>
  </si>
  <si>
    <t>GSO-240405</t>
  </si>
  <si>
    <t>GSO-240910</t>
  </si>
  <si>
    <t>GSO-241120</t>
  </si>
  <si>
    <t>GSO-250315</t>
  </si>
  <si>
    <t>GSO-250405</t>
  </si>
  <si>
    <t>GSO-250925</t>
  </si>
  <si>
    <t>GSO-260225</t>
  </si>
  <si>
    <t>JOJ-210120</t>
  </si>
  <si>
    <t>호호바 오일</t>
  </si>
  <si>
    <t>JOJ-210215</t>
  </si>
  <si>
    <t>JOJ-210520</t>
  </si>
  <si>
    <t>JOJ-220115</t>
  </si>
  <si>
    <t>JOJ-220601</t>
  </si>
  <si>
    <t>JOJ-230125</t>
  </si>
  <si>
    <t>JOJ-230620</t>
  </si>
  <si>
    <t>JOJ-230801</t>
  </si>
  <si>
    <t>JOJ-240125</t>
  </si>
  <si>
    <t>JOJ-240825</t>
  </si>
  <si>
    <t>JOJ-250720</t>
  </si>
  <si>
    <t>JOJ-250905</t>
  </si>
  <si>
    <t>JOJ-251208</t>
  </si>
  <si>
    <t>JOJ-260101</t>
  </si>
  <si>
    <t>JOP-210125</t>
  </si>
  <si>
    <t>호호바 오일(파우더)</t>
  </si>
  <si>
    <t>JOP-211110</t>
  </si>
  <si>
    <t>JOP-220125</t>
  </si>
  <si>
    <t>JOP-220425</t>
  </si>
  <si>
    <t>JOP-230420</t>
  </si>
  <si>
    <t>JOP-230625</t>
  </si>
  <si>
    <t>JOP-240112</t>
  </si>
  <si>
    <t>유통기한만료(폐기): 호호바파우더 품질문제</t>
  </si>
  <si>
    <t>JOP-240515</t>
  </si>
  <si>
    <t>JOP-241201</t>
  </si>
  <si>
    <t>JOP-250808</t>
  </si>
  <si>
    <t>JOP-251115</t>
  </si>
  <si>
    <t>JOP-251215</t>
  </si>
  <si>
    <t>JOP-260208</t>
  </si>
  <si>
    <t>KBT-210815</t>
  </si>
  <si>
    <t>카카오 버터</t>
  </si>
  <si>
    <t>KBT-211108</t>
  </si>
  <si>
    <t>KBT-220410</t>
  </si>
  <si>
    <t>KBT-220520</t>
  </si>
  <si>
    <t>KBT-220908</t>
  </si>
  <si>
    <t>KBT-230305</t>
  </si>
  <si>
    <t>KBT-230720</t>
  </si>
  <si>
    <t>KBT-240320</t>
  </si>
  <si>
    <t>KBT-240708</t>
  </si>
  <si>
    <t>KBT-241115</t>
  </si>
  <si>
    <t>KBT-250108</t>
  </si>
  <si>
    <t>KBT-250310</t>
  </si>
  <si>
    <t>KBT-250820</t>
  </si>
  <si>
    <t>KMS-210105</t>
  </si>
  <si>
    <t>카카오 매스</t>
  </si>
  <si>
    <t>KMS-210505</t>
  </si>
  <si>
    <t>KMS-220305</t>
  </si>
  <si>
    <t>KMS-220708</t>
  </si>
  <si>
    <t>KMS-221010</t>
  </si>
  <si>
    <t>KMS-230315</t>
  </si>
  <si>
    <t>KMS-230425</t>
  </si>
  <si>
    <t>KMS-231110</t>
  </si>
  <si>
    <t>KMS-240201</t>
  </si>
  <si>
    <t>KMS-240915</t>
  </si>
  <si>
    <t>KMS-250115</t>
  </si>
  <si>
    <t>KMS-250425</t>
  </si>
  <si>
    <t>KMS-260215</t>
  </si>
  <si>
    <t>OAT-210220</t>
  </si>
  <si>
    <t>귀리 (원곡)</t>
  </si>
  <si>
    <t>OAT-210420</t>
  </si>
  <si>
    <t>OAT-211010</t>
  </si>
  <si>
    <t>OAT-220201</t>
  </si>
  <si>
    <t>OAT-220425</t>
  </si>
  <si>
    <t>OAT-220805</t>
  </si>
  <si>
    <t>OAT-230120</t>
  </si>
  <si>
    <t>OAT-230408</t>
  </si>
  <si>
    <t>OAT-230501</t>
  </si>
  <si>
    <t>OAT-230810</t>
  </si>
  <si>
    <t>유통기한만료(폐기): 귀리 소비부진(가격경쟁)</t>
  </si>
  <si>
    <t>OAT-240220</t>
  </si>
  <si>
    <t>OAT-240325</t>
  </si>
  <si>
    <t>OAT-241001</t>
  </si>
  <si>
    <t>OAT-250810</t>
  </si>
  <si>
    <t>OAT-251120</t>
  </si>
  <si>
    <t>OLO-210520</t>
  </si>
  <si>
    <t>올리브유 (EV)</t>
  </si>
  <si>
    <t>OLO-211125</t>
  </si>
  <si>
    <t>OLO-220301</t>
  </si>
  <si>
    <t>OLO-220805</t>
  </si>
  <si>
    <t>OLO-221020</t>
  </si>
  <si>
    <t>OLO-230115</t>
  </si>
  <si>
    <t>OLO-230605</t>
  </si>
  <si>
    <t>OLO-240720</t>
  </si>
  <si>
    <t>OLO-240801</t>
  </si>
  <si>
    <t>OLO-250301</t>
  </si>
  <si>
    <t>OLO-251020</t>
  </si>
  <si>
    <t>OLO-251120</t>
  </si>
  <si>
    <t>PLM-210305</t>
  </si>
  <si>
    <t>팜유 (RBD)</t>
  </si>
  <si>
    <t>PLM-211005</t>
  </si>
  <si>
    <t>PLM-220701</t>
  </si>
  <si>
    <t>PLM-220805</t>
  </si>
  <si>
    <t>PLM-220908</t>
  </si>
  <si>
    <t>PLM-230208</t>
  </si>
  <si>
    <t>PLM-231205</t>
  </si>
  <si>
    <t>PLM-240105</t>
  </si>
  <si>
    <t>PLM-240401</t>
  </si>
  <si>
    <t>PLM-241101</t>
  </si>
  <si>
    <t>PLM-250415</t>
  </si>
  <si>
    <t>PLM-250820</t>
  </si>
  <si>
    <t>PLM-251025</t>
  </si>
  <si>
    <t>PLM-260220</t>
  </si>
  <si>
    <t>RIC-210320</t>
  </si>
  <si>
    <t>쌀 (장립종)</t>
  </si>
  <si>
    <t>RIC-210720</t>
  </si>
  <si>
    <t>RIC-220725</t>
  </si>
  <si>
    <t>RIC-221010</t>
  </si>
  <si>
    <t>RIC-221105</t>
  </si>
  <si>
    <t>RIC-230401</t>
  </si>
  <si>
    <t>RIC-231205</t>
  </si>
  <si>
    <t>RIC-240201</t>
  </si>
  <si>
    <t>RIC-240620</t>
  </si>
  <si>
    <t>RIC-250325</t>
  </si>
  <si>
    <t>RIC-250708</t>
  </si>
  <si>
    <t>RIC-250920</t>
  </si>
  <si>
    <t>SES-210305</t>
  </si>
  <si>
    <t>참깨 (Sesame)</t>
  </si>
  <si>
    <t>SES-210925</t>
  </si>
  <si>
    <t>SES-220225</t>
  </si>
  <si>
    <t>SES-220705</t>
  </si>
  <si>
    <t>SES-230125</t>
  </si>
  <si>
    <t>SES-230305</t>
  </si>
  <si>
    <t>SES-230408</t>
  </si>
  <si>
    <t>SES-240225</t>
  </si>
  <si>
    <t>SES-240715</t>
  </si>
  <si>
    <t>SES-241215</t>
  </si>
  <si>
    <t>SES-250915</t>
  </si>
  <si>
    <t>SES-251020</t>
  </si>
  <si>
    <t>SES-260108</t>
  </si>
  <si>
    <t>SGR-210125</t>
  </si>
  <si>
    <t>원당 (Sugar)</t>
  </si>
  <si>
    <t>SGR-210715</t>
  </si>
  <si>
    <t>SGR-211025</t>
  </si>
  <si>
    <t>SGR-220125</t>
  </si>
  <si>
    <t>SGR-220225</t>
  </si>
  <si>
    <t>SGR-230220</t>
  </si>
  <si>
    <t>SGR-231020</t>
  </si>
  <si>
    <t>SGR-240715</t>
  </si>
  <si>
    <t>SGR-240801</t>
  </si>
  <si>
    <t>SGR-250720</t>
  </si>
  <si>
    <t>SGR-251108</t>
  </si>
  <si>
    <t>SGR-260220</t>
  </si>
  <si>
    <t>SOM-210205</t>
  </si>
  <si>
    <t>대두박 (Meal)</t>
  </si>
  <si>
    <t>SOM-211005</t>
  </si>
  <si>
    <t>SOM-211115</t>
  </si>
  <si>
    <t>SOM-220315</t>
  </si>
  <si>
    <t>유통기한만료(폐기): 대두박 수요급감(대체사료전환)</t>
  </si>
  <si>
    <t>SOM-220810</t>
  </si>
  <si>
    <t>SOM-221120</t>
  </si>
  <si>
    <t>SOM-230308</t>
  </si>
  <si>
    <t>SOM-230720</t>
  </si>
  <si>
    <t>SOM-231110</t>
  </si>
  <si>
    <t>SOM-240415</t>
  </si>
  <si>
    <t>SOM-241001</t>
  </si>
  <si>
    <t>SOM-250115</t>
  </si>
  <si>
    <t>SOM-250901</t>
  </si>
  <si>
    <t>SOM-260201</t>
  </si>
  <si>
    <t>SOY-210320</t>
  </si>
  <si>
    <t>대두 (원곡)</t>
  </si>
  <si>
    <t>SOY-210801</t>
  </si>
  <si>
    <t>SOY-220505</t>
  </si>
  <si>
    <t>SOY-220710</t>
  </si>
  <si>
    <t>SOY-230425</t>
  </si>
  <si>
    <t>SOY-231101</t>
  </si>
  <si>
    <t>SOY-240120</t>
  </si>
  <si>
    <t>SOY-240525</t>
  </si>
  <si>
    <t>SOY-250301</t>
  </si>
  <si>
    <t>SOY-250815</t>
  </si>
  <si>
    <t>SUN-210425</t>
  </si>
  <si>
    <t>해바라기유</t>
  </si>
  <si>
    <t>SUN-210505</t>
  </si>
  <si>
    <t>SUN-210908</t>
  </si>
  <si>
    <t>SUN-220520</t>
  </si>
  <si>
    <t>SUN-220715</t>
  </si>
  <si>
    <t>SUN-230320</t>
  </si>
  <si>
    <t>SUN-230408</t>
  </si>
  <si>
    <t>유통기한만료(폐기): 러시아산 대량유입→재고적체</t>
  </si>
  <si>
    <t>SUN-230905</t>
  </si>
  <si>
    <t>SUN-231001</t>
  </si>
  <si>
    <t>SUN-240425</t>
  </si>
  <si>
    <t>SUN-240508</t>
  </si>
  <si>
    <t>SUN-240825</t>
  </si>
  <si>
    <t>SUN-250405</t>
  </si>
  <si>
    <t>SUN-250605</t>
  </si>
  <si>
    <t>SUN-251210</t>
  </si>
  <si>
    <t>SUN-260120</t>
  </si>
  <si>
    <t>VAN-210501</t>
  </si>
  <si>
    <t>바닐라 빈</t>
  </si>
  <si>
    <t>VAN-210708</t>
  </si>
  <si>
    <t>VAN-210820</t>
  </si>
  <si>
    <t>VAN-220420</t>
  </si>
  <si>
    <t>VAN-220625</t>
  </si>
  <si>
    <t>VAN-230215</t>
  </si>
  <si>
    <t>VAN-230301</t>
  </si>
  <si>
    <t>VAN-230915</t>
  </si>
  <si>
    <t>VAN-240401</t>
  </si>
  <si>
    <t>VAN-240808</t>
  </si>
  <si>
    <t>VAN-241208</t>
  </si>
  <si>
    <t>VAN-250125</t>
  </si>
  <si>
    <t>VAN-250605</t>
  </si>
  <si>
    <t>VAN-251005</t>
  </si>
  <si>
    <t>VAN-260125</t>
  </si>
  <si>
    <t>WAL-210620</t>
  </si>
  <si>
    <t>호두</t>
  </si>
  <si>
    <t>WAL-210720</t>
  </si>
  <si>
    <t>WAL-220915</t>
  </si>
  <si>
    <t>WAL-221208</t>
  </si>
  <si>
    <t>WAL-230510</t>
  </si>
  <si>
    <t>WAL-230601</t>
  </si>
  <si>
    <t>WAL-240210</t>
  </si>
  <si>
    <t>WAL-240315</t>
  </si>
  <si>
    <t>WAL-240808</t>
  </si>
  <si>
    <t>WAL-250108</t>
  </si>
  <si>
    <t>WAL-250215</t>
  </si>
  <si>
    <t>WAL-260110</t>
  </si>
  <si>
    <t>WHT-210115</t>
  </si>
  <si>
    <t>소맥 (제분용)</t>
  </si>
  <si>
    <t>WHT-210601</t>
  </si>
  <si>
    <t>WHT-220225</t>
  </si>
  <si>
    <t>WHT-220820</t>
  </si>
  <si>
    <t>WHT-230125</t>
  </si>
  <si>
    <t>WHT-230220</t>
  </si>
  <si>
    <t>WHT-230810</t>
  </si>
  <si>
    <t>WHT-240210</t>
  </si>
  <si>
    <t>WHT-240901</t>
  </si>
  <si>
    <t>WHT-250425</t>
  </si>
  <si>
    <t>WHT-250808</t>
  </si>
  <si>
    <t>WHT-260205</t>
  </si>
  <si>
    <t>분류</t>
  </si>
  <si>
    <t>표준유통기한(개월)</t>
  </si>
  <si>
    <t>보관조건</t>
  </si>
  <si>
    <t>카카오류</t>
  </si>
  <si>
    <t>서늘·건조 (15~20°C, 습도 50% 이하)</t>
  </si>
  <si>
    <t>밀폐용기 보관, 통풍 필수</t>
  </si>
  <si>
    <t>서늘·건조 (15~20°C)</t>
  </si>
  <si>
    <t>개봉 후 산화주의</t>
  </si>
  <si>
    <t>서늘·암소 (10~21°C)</t>
  </si>
  <si>
    <t>밀폐·차광 보관</t>
  </si>
  <si>
    <t>오일류</t>
  </si>
  <si>
    <t>상온·암소</t>
  </si>
  <si>
    <t>산패 느림, 개봉 후 12개월</t>
  </si>
  <si>
    <t>서늘·건조</t>
  </si>
  <si>
    <t>습기 차단 필수</t>
  </si>
  <si>
    <t>곡류</t>
  </si>
  <si>
    <t>저온·건조 (수분 13% 이하)</t>
  </si>
  <si>
    <t>고유분→산패 위험 높음</t>
  </si>
  <si>
    <t>서늘·건조·통풍</t>
  </si>
  <si>
    <t>단백질 변성 주의</t>
  </si>
  <si>
    <t>저온·건조</t>
  </si>
  <si>
    <t>수분 14% 이하 유지</t>
  </si>
  <si>
    <t>저온·건조·밀폐</t>
  </si>
  <si>
    <t>해충 관리 필수</t>
  </si>
  <si>
    <t>서늘·암소 (25°C 이하)</t>
  </si>
  <si>
    <t>산화 방지, 질소충전 권장</t>
  </si>
  <si>
    <t>당류</t>
  </si>
  <si>
    <t>상온·건조</t>
  </si>
  <si>
    <t>흡습 주의, 밀폐보관</t>
  </si>
  <si>
    <t>섬유류</t>
  </si>
  <si>
    <t>건조·통풍</t>
  </si>
  <si>
    <t>습기·곰팡이 관리</t>
  </si>
  <si>
    <t>지방 함량 높아 산패 주의</t>
  </si>
  <si>
    <t>서늘·암소</t>
  </si>
  <si>
    <t>개봉 후 6개월 내 사용</t>
  </si>
  <si>
    <t>종실류</t>
  </si>
  <si>
    <t>냉장 권장 (10°C 이하)</t>
  </si>
  <si>
    <t>오메가3 산화 빠름</t>
  </si>
  <si>
    <t>개봉 후 산패 가속</t>
  </si>
  <si>
    <t>서늘·건조·밀폐</t>
  </si>
  <si>
    <t>산패 관리 중요</t>
  </si>
  <si>
    <t>저온·건조 (15°C 이하)</t>
  </si>
  <si>
    <t>현미 기준, 도정 시 단축</t>
  </si>
  <si>
    <t>커피류</t>
  </si>
  <si>
    <t>서늘·건조·밀폐 (15~25°C)</t>
  </si>
  <si>
    <t>생두 기준, 로스팅 후 1개월</t>
  </si>
  <si>
    <t>아라비카 대비 산패 느림</t>
  </si>
  <si>
    <t>향신료</t>
  </si>
  <si>
    <t>상온·건조·밀폐</t>
  </si>
  <si>
    <t>향 손실만 주의</t>
  </si>
  <si>
    <t>서늘·건조·암소 (16~18°C)</t>
  </si>
  <si>
    <t>곰팡이 주의, 밀폐필수</t>
  </si>
  <si>
    <t>불포화지방 높아 산패 주의</t>
  </si>
  <si>
    <t>서늘·암소 (14~18°C)</t>
  </si>
  <si>
    <t>품질 등급별 차이</t>
  </si>
  <si>
    <t>상온 가능 (25°C 이하)</t>
  </si>
  <si>
    <t>고체↔액체 반복 시 품질 저하</t>
  </si>
  <si>
    <t>견과류</t>
  </si>
  <si>
    <t>냉장 권장</t>
  </si>
  <si>
    <t>불포화지방→산패</t>
  </si>
  <si>
    <t>냉장 권장 (5°C 이하)</t>
  </si>
  <si>
    <t>껍질 유무에 따라 차이</t>
  </si>
  <si>
    <t>냉장 필수</t>
  </si>
  <si>
    <t>오메가3 높아 산패 가장 빠름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</si>
</sst>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Noto Sans CJK SC"/>
    </font>
    <font>
      <sz val="10"/>
      <color indexed="8"/>
      <name val="Arial"/>
    </font>
    <font>
      <sz val="10"/>
      <color indexed="8"/>
      <name val="Noto Sans CJK SC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center"/>
    </xf>
    <xf numFmtId="49" fontId="5" fillId="3" borderId="1" applyNumberFormat="1" applyFont="1" applyFill="1" applyBorder="1" applyAlignment="1" applyProtection="0">
      <alignment horizontal="center" vertical="center"/>
    </xf>
    <xf numFmtId="3" fontId="4" fillId="3" borderId="1" applyNumberFormat="1" applyFont="1" applyFill="1" applyBorder="1" applyAlignment="1" applyProtection="0">
      <alignment horizontal="right" vertical="center"/>
    </xf>
    <xf numFmtId="59" fontId="4" fillId="3" borderId="1" applyNumberFormat="1" applyFont="1" applyFill="1" applyBorder="1" applyAlignment="1" applyProtection="0">
      <alignment horizontal="right" vertical="center"/>
    </xf>
    <xf numFmtId="4" fontId="4" fillId="3" borderId="1" applyNumberFormat="1" applyFont="1" applyFill="1" applyBorder="1" applyAlignment="1" applyProtection="0">
      <alignment horizontal="right" vertical="center"/>
    </xf>
    <xf numFmtId="49" fontId="4" fillId="4" borderId="1" applyNumberFormat="1" applyFont="1" applyFill="1" applyBorder="1" applyAlignment="1" applyProtection="0">
      <alignment horizontal="center" vertical="center"/>
    </xf>
    <xf numFmtId="49" fontId="5" fillId="4" borderId="1" applyNumberFormat="1" applyFont="1" applyFill="1" applyBorder="1" applyAlignment="1" applyProtection="0">
      <alignment horizontal="center" vertical="center"/>
    </xf>
    <xf numFmtId="3" fontId="4" fillId="4" borderId="1" applyNumberFormat="1" applyFont="1" applyFill="1" applyBorder="1" applyAlignment="1" applyProtection="0">
      <alignment horizontal="right" vertical="center"/>
    </xf>
    <xf numFmtId="59" fontId="4" fillId="4" borderId="1" applyNumberFormat="1" applyFont="1" applyFill="1" applyBorder="1" applyAlignment="1" applyProtection="0">
      <alignment horizontal="right" vertical="center"/>
    </xf>
    <xf numFmtId="4" fontId="4" fillId="4" borderId="1" applyNumberFormat="1" applyFont="1" applyFill="1" applyBorder="1" applyAlignment="1" applyProtection="0">
      <alignment horizontal="right" vertical="center"/>
    </xf>
    <xf numFmtId="49" fontId="4" fillId="5" borderId="1" applyNumberFormat="1" applyFont="1" applyFill="1" applyBorder="1" applyAlignment="1" applyProtection="0">
      <alignment horizontal="center" vertical="center"/>
    </xf>
    <xf numFmtId="49" fontId="5" fillId="5" borderId="1" applyNumberFormat="1" applyFont="1" applyFill="1" applyBorder="1" applyAlignment="1" applyProtection="0">
      <alignment horizontal="center" vertical="center"/>
    </xf>
    <xf numFmtId="3" fontId="4" fillId="5" borderId="1" applyNumberFormat="1" applyFont="1" applyFill="1" applyBorder="1" applyAlignment="1" applyProtection="0">
      <alignment horizontal="right" vertical="center"/>
    </xf>
    <xf numFmtId="59" fontId="4" fillId="5" borderId="1" applyNumberFormat="1" applyFont="1" applyFill="1" applyBorder="1" applyAlignment="1" applyProtection="0">
      <alignment horizontal="right" vertical="center"/>
    </xf>
    <xf numFmtId="4" fontId="4" fillId="5" borderId="1" applyNumberFormat="1" applyFont="1" applyFill="1" applyBorder="1" applyAlignment="1" applyProtection="0">
      <alignment horizontal="right" vertical="center"/>
    </xf>
    <xf numFmtId="0" fontId="0" applyNumberFormat="1" applyFont="1" applyFill="0" applyBorder="0" applyAlignment="1" applyProtection="0">
      <alignment vertical="bottom"/>
    </xf>
    <xf numFmtId="49" fontId="5" fillId="6" borderId="1" applyNumberFormat="1" applyFont="1" applyFill="1" applyBorder="1" applyAlignment="1" applyProtection="0">
      <alignment horizontal="center" vertical="center"/>
    </xf>
    <xf numFmtId="49" fontId="5" fillId="6" borderId="1" applyNumberFormat="1" applyFont="1" applyFill="1" applyBorder="1" applyAlignment="1" applyProtection="0">
      <alignment horizontal="left" vertical="center"/>
    </xf>
    <xf numFmtId="1" fontId="4" fillId="6" borderId="1" applyNumberFormat="1" applyFont="1" applyFill="1" applyBorder="1" applyAlignment="1" applyProtection="0">
      <alignment horizontal="center" vertical="bottom"/>
    </xf>
    <xf numFmtId="0" fontId="0" fillId="6" borderId="2" applyNumberFormat="0" applyFont="1" applyFill="1" applyBorder="1" applyAlignment="1" applyProtection="0">
      <alignment vertical="bottom"/>
    </xf>
    <xf numFmtId="0" fontId="0" fillId="6" borderId="3" applyNumberFormat="0" applyFont="1" applyFill="1" applyBorder="1" applyAlignment="1" applyProtection="0">
      <alignment vertical="bottom"/>
    </xf>
    <xf numFmtId="0" fontId="0" fillId="6" borderId="1" applyNumberFormat="0" applyFont="1" applyFill="1" applyBorder="1" applyAlignment="1" applyProtection="0">
      <alignment vertical="bottom"/>
    </xf>
    <xf numFmtId="0" fontId="0" fillId="6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f5496"/>
      <rgbColor rgb="ffd9d9d9"/>
      <rgbColor rgb="fff5f5f5"/>
      <rgbColor rgb="ffffe0e0"/>
      <rgbColor rgb="ffe8f5e9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68"/>
  <sheetViews>
    <sheetView workbookViewId="0" showGridLines="0" defaultGridColor="1"/>
  </sheetViews>
  <sheetFormatPr defaultColWidth="8.66667" defaultRowHeight="15" customHeight="1" outlineLevelRow="0" outlineLevelCol="0"/>
  <cols>
    <col min="1" max="1" width="16" style="1" customWidth="1"/>
    <col min="2" max="2" width="18" style="1" customWidth="1"/>
    <col min="3" max="3" width="10" style="1" customWidth="1"/>
    <col min="4" max="5" width="12" style="1" customWidth="1"/>
    <col min="6" max="6" width="10" style="1" customWidth="1"/>
    <col min="7" max="7" width="14" style="1" customWidth="1"/>
    <col min="8" max="9" width="12" style="1" customWidth="1"/>
    <col min="10" max="10" width="10" style="1" customWidth="1"/>
    <col min="11" max="11" width="12" style="1" customWidth="1"/>
    <col min="12" max="12" width="16" style="1" customWidth="1"/>
    <col min="13" max="13" width="12" style="1" customWidth="1"/>
    <col min="14" max="14" width="16" style="1" customWidth="1"/>
    <col min="15" max="15" width="30" style="1" customWidth="1"/>
    <col min="16" max="16384" width="8.67188" style="1" customWidth="1"/>
  </cols>
  <sheetData>
    <row r="1" ht="29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15" customHeight="1">
      <c r="A2" t="s" s="3">
        <v>15</v>
      </c>
      <c r="B2" t="s" s="4">
        <v>16</v>
      </c>
      <c r="C2" s="5">
        <v>151</v>
      </c>
      <c r="D2" s="5">
        <v>0</v>
      </c>
      <c r="E2" s="5">
        <v>48</v>
      </c>
      <c r="F2" s="6">
        <v>0</v>
      </c>
      <c r="G2" t="s" s="3">
        <v>17</v>
      </c>
      <c r="H2" s="5">
        <v>151</v>
      </c>
      <c r="I2" s="7">
        <v>3.71</v>
      </c>
      <c r="J2" s="5">
        <v>1113</v>
      </c>
      <c r="K2" s="5" cm="1">
        <f t="array" ref="K2">ROUND(H2*I2,0)</f>
        <v>560</v>
      </c>
      <c r="L2" s="5" cm="1">
        <f t="array" ref="L2">K2*J2</f>
        <v>623280</v>
      </c>
      <c r="M2" s="5">
        <v>26000</v>
      </c>
      <c r="N2" s="5" cm="1">
        <f t="array" ref="N2">D2*M2</f>
        <v>0</v>
      </c>
      <c r="O2" t="s" s="4">
        <v>18</v>
      </c>
    </row>
    <row r="3" ht="15" customHeight="1">
      <c r="A3" t="s" s="3">
        <v>19</v>
      </c>
      <c r="B3" t="s" s="4">
        <v>16</v>
      </c>
      <c r="C3" s="5">
        <v>192</v>
      </c>
      <c r="D3" s="5">
        <v>0</v>
      </c>
      <c r="E3" s="5">
        <v>48</v>
      </c>
      <c r="F3" s="6">
        <v>0</v>
      </c>
      <c r="G3" t="s" s="3">
        <v>20</v>
      </c>
      <c r="H3" s="5">
        <v>230</v>
      </c>
      <c r="I3" s="7">
        <v>3.85</v>
      </c>
      <c r="J3" s="5">
        <v>1128</v>
      </c>
      <c r="K3" s="5" cm="1">
        <f t="array" ref="K3">ROUND(H3*I3,0)</f>
        <v>886</v>
      </c>
      <c r="L3" s="5" cm="1">
        <f t="array" ref="L3">K3*J3</f>
        <v>999408</v>
      </c>
      <c r="M3" s="5">
        <v>26000</v>
      </c>
      <c r="N3" s="5" cm="1">
        <f t="array" ref="N3">D3*M3</f>
        <v>0</v>
      </c>
      <c r="O3" t="s" s="4">
        <v>18</v>
      </c>
    </row>
    <row r="4" ht="15" customHeight="1">
      <c r="A4" t="s" s="3">
        <v>21</v>
      </c>
      <c r="B4" t="s" s="4">
        <v>16</v>
      </c>
      <c r="C4" s="5">
        <v>158</v>
      </c>
      <c r="D4" s="5">
        <v>0</v>
      </c>
      <c r="E4" s="5">
        <v>48</v>
      </c>
      <c r="F4" s="6">
        <v>0</v>
      </c>
      <c r="G4" t="s" s="3">
        <v>22</v>
      </c>
      <c r="H4" s="5">
        <v>126</v>
      </c>
      <c r="I4" s="7">
        <v>3.88</v>
      </c>
      <c r="J4" s="5">
        <v>1192</v>
      </c>
      <c r="K4" s="5" cm="1">
        <f t="array" ref="K4">ROUND(H4*I4,0)</f>
        <v>489</v>
      </c>
      <c r="L4" s="5" cm="1">
        <f t="array" ref="L4">K4*J4</f>
        <v>582888</v>
      </c>
      <c r="M4" s="5">
        <v>26000</v>
      </c>
      <c r="N4" s="5" cm="1">
        <f t="array" ref="N4">D4*M4</f>
        <v>0</v>
      </c>
      <c r="O4" t="s" s="4">
        <v>18</v>
      </c>
    </row>
    <row r="5" ht="15" customHeight="1">
      <c r="A5" t="s" s="3">
        <v>23</v>
      </c>
      <c r="B5" t="s" s="4">
        <v>16</v>
      </c>
      <c r="C5" s="5">
        <v>158</v>
      </c>
      <c r="D5" s="5">
        <v>0</v>
      </c>
      <c r="E5" s="5">
        <v>48</v>
      </c>
      <c r="F5" s="6">
        <v>0</v>
      </c>
      <c r="G5" t="s" s="3">
        <v>24</v>
      </c>
      <c r="H5" s="5">
        <v>126</v>
      </c>
      <c r="I5" s="7">
        <v>4.05</v>
      </c>
      <c r="J5" s="5">
        <v>1298</v>
      </c>
      <c r="K5" s="5" cm="1">
        <f t="array" ref="K5">ROUND(H5*I5,0)</f>
        <v>510</v>
      </c>
      <c r="L5" s="5" cm="1">
        <f t="array" ref="L5">K5*J5</f>
        <v>661980</v>
      </c>
      <c r="M5" s="5">
        <v>26650</v>
      </c>
      <c r="N5" s="5" cm="1">
        <f t="array" ref="N5">D5*M5</f>
        <v>0</v>
      </c>
      <c r="O5" t="s" s="4">
        <v>18</v>
      </c>
    </row>
    <row r="6" ht="15" customHeight="1">
      <c r="A6" t="s" s="3">
        <v>25</v>
      </c>
      <c r="B6" t="s" s="4">
        <v>16</v>
      </c>
      <c r="C6" s="5">
        <v>198</v>
      </c>
      <c r="D6" s="5">
        <v>0</v>
      </c>
      <c r="E6" s="5">
        <v>48</v>
      </c>
      <c r="F6" s="6">
        <v>0</v>
      </c>
      <c r="G6" t="s" s="3">
        <v>26</v>
      </c>
      <c r="H6" s="5">
        <v>237</v>
      </c>
      <c r="I6" s="7">
        <v>4.24</v>
      </c>
      <c r="J6" s="5">
        <v>1327</v>
      </c>
      <c r="K6" s="5" cm="1">
        <f t="array" ref="K6">ROUND(H6*I6,0)</f>
        <v>1005</v>
      </c>
      <c r="L6" s="5" cm="1">
        <f t="array" ref="L6">K6*J6</f>
        <v>1333635</v>
      </c>
      <c r="M6" s="5">
        <v>26650</v>
      </c>
      <c r="N6" s="5" cm="1">
        <f t="array" ref="N6">D6*M6</f>
        <v>0</v>
      </c>
      <c r="O6" t="s" s="4">
        <v>18</v>
      </c>
    </row>
    <row r="7" ht="15" customHeight="1">
      <c r="A7" t="s" s="3">
        <v>27</v>
      </c>
      <c r="B7" t="s" s="4">
        <v>16</v>
      </c>
      <c r="C7" s="5">
        <v>209</v>
      </c>
      <c r="D7" s="5">
        <v>0</v>
      </c>
      <c r="E7" s="5">
        <v>48</v>
      </c>
      <c r="F7" s="6">
        <v>0</v>
      </c>
      <c r="G7" t="s" s="3">
        <v>28</v>
      </c>
      <c r="H7" s="5">
        <v>250</v>
      </c>
      <c r="I7" s="7">
        <v>4.09</v>
      </c>
      <c r="J7" s="5">
        <v>1301</v>
      </c>
      <c r="K7" s="5" cm="1">
        <f t="array" ref="K7">ROUND(H7*I7,0)</f>
        <v>1023</v>
      </c>
      <c r="L7" s="5" cm="1">
        <f t="array" ref="L7">K7*J7</f>
        <v>1330923</v>
      </c>
      <c r="M7" s="5">
        <v>27300</v>
      </c>
      <c r="N7" s="5" cm="1">
        <f t="array" ref="N7">D7*M7</f>
        <v>0</v>
      </c>
      <c r="O7" t="s" s="4">
        <v>18</v>
      </c>
    </row>
    <row r="8" ht="15" customHeight="1">
      <c r="A8" t="s" s="3">
        <v>29</v>
      </c>
      <c r="B8" t="s" s="4">
        <v>16</v>
      </c>
      <c r="C8" s="5">
        <v>143</v>
      </c>
      <c r="D8" s="5">
        <v>0</v>
      </c>
      <c r="E8" s="5">
        <v>48</v>
      </c>
      <c r="F8" s="6">
        <v>0</v>
      </c>
      <c r="G8" t="s" s="3">
        <v>30</v>
      </c>
      <c r="H8" s="5">
        <v>143</v>
      </c>
      <c r="I8" s="7">
        <v>4.28</v>
      </c>
      <c r="J8" s="5">
        <v>1310</v>
      </c>
      <c r="K8" s="5" cm="1">
        <f t="array" ref="K8">ROUND(H8*I8,0)</f>
        <v>612</v>
      </c>
      <c r="L8" s="5" cm="1">
        <f t="array" ref="L8">K8*J8</f>
        <v>801720</v>
      </c>
      <c r="M8" s="5">
        <v>27300</v>
      </c>
      <c r="N8" s="5" cm="1">
        <f t="array" ref="N8">D8*M8</f>
        <v>0</v>
      </c>
      <c r="O8" t="s" s="4">
        <v>18</v>
      </c>
    </row>
    <row r="9" ht="15" customHeight="1">
      <c r="A9" t="s" s="3">
        <v>31</v>
      </c>
      <c r="B9" t="s" s="4">
        <v>16</v>
      </c>
      <c r="C9" s="5">
        <v>167</v>
      </c>
      <c r="D9" s="5">
        <v>0</v>
      </c>
      <c r="E9" s="5">
        <v>48</v>
      </c>
      <c r="F9" s="6">
        <v>0</v>
      </c>
      <c r="G9" t="s" s="3">
        <v>32</v>
      </c>
      <c r="H9" s="5">
        <v>167</v>
      </c>
      <c r="I9" s="7">
        <v>4.34</v>
      </c>
      <c r="J9" s="5">
        <v>1332</v>
      </c>
      <c r="K9" s="5" cm="1">
        <f t="array" ref="K9">ROUND(H9*I9,0)</f>
        <v>725</v>
      </c>
      <c r="L9" s="5" cm="1">
        <f t="array" ref="L9">K9*J9</f>
        <v>965700</v>
      </c>
      <c r="M9" s="5">
        <v>27950</v>
      </c>
      <c r="N9" s="5" cm="1">
        <f t="array" ref="N9">D9*M9</f>
        <v>0</v>
      </c>
      <c r="O9" t="s" s="4">
        <v>18</v>
      </c>
    </row>
    <row r="10" ht="15" customHeight="1">
      <c r="A10" t="s" s="8">
        <v>33</v>
      </c>
      <c r="B10" t="s" s="9">
        <v>16</v>
      </c>
      <c r="C10" s="10">
        <v>280</v>
      </c>
      <c r="D10" s="10">
        <v>0</v>
      </c>
      <c r="E10" s="10">
        <v>0</v>
      </c>
      <c r="F10" s="11">
        <v>0</v>
      </c>
      <c r="G10" t="s" s="8">
        <v>34</v>
      </c>
      <c r="H10" s="10">
        <v>0</v>
      </c>
      <c r="I10" s="12">
        <v>4.12</v>
      </c>
      <c r="J10" s="10">
        <v>1342</v>
      </c>
      <c r="K10" s="10">
        <v>1154</v>
      </c>
      <c r="L10" s="10" cm="1">
        <f t="array" ref="L10">K10*J10</f>
        <v>1548668</v>
      </c>
      <c r="M10" s="10">
        <v>0</v>
      </c>
      <c r="N10" s="10" cm="1">
        <f t="array" ref="N10">D10*M10</f>
        <v>0</v>
      </c>
      <c r="O10" t="s" s="9">
        <v>35</v>
      </c>
    </row>
    <row r="11" ht="15" customHeight="1">
      <c r="A11" t="s" s="3">
        <v>36</v>
      </c>
      <c r="B11" t="s" s="4">
        <v>16</v>
      </c>
      <c r="C11" s="5">
        <v>185</v>
      </c>
      <c r="D11" s="5">
        <v>0</v>
      </c>
      <c r="E11" s="5">
        <v>48</v>
      </c>
      <c r="F11" s="6">
        <v>0</v>
      </c>
      <c r="G11" t="s" s="3">
        <v>37</v>
      </c>
      <c r="H11" s="5">
        <v>148</v>
      </c>
      <c r="I11" s="7">
        <v>4.15</v>
      </c>
      <c r="J11" s="5">
        <v>1359</v>
      </c>
      <c r="K11" s="5" cm="1">
        <f t="array" ref="K11">ROUND(H11*I11,0)</f>
        <v>614</v>
      </c>
      <c r="L11" s="5" cm="1">
        <f t="array" ref="L11">K11*J11</f>
        <v>834426</v>
      </c>
      <c r="M11" s="5">
        <v>27950</v>
      </c>
      <c r="N11" s="5" cm="1">
        <f t="array" ref="N11">D11*M11</f>
        <v>0</v>
      </c>
      <c r="O11" t="s" s="4">
        <v>18</v>
      </c>
    </row>
    <row r="12" ht="15" customHeight="1">
      <c r="A12" t="s" s="13">
        <v>38</v>
      </c>
      <c r="B12" t="s" s="14">
        <v>16</v>
      </c>
      <c r="C12" s="15">
        <v>163</v>
      </c>
      <c r="D12" s="15">
        <v>2</v>
      </c>
      <c r="E12" s="15">
        <v>48</v>
      </c>
      <c r="F12" s="16" cm="1">
        <f t="array" ref="F12">ROUND(D12/E12,1)</f>
        <v>0</v>
      </c>
      <c r="G12" t="s" s="13">
        <v>39</v>
      </c>
      <c r="H12" s="15">
        <v>130</v>
      </c>
      <c r="I12" s="17">
        <v>4.2</v>
      </c>
      <c r="J12" s="15">
        <v>1390</v>
      </c>
      <c r="K12" s="15" cm="1">
        <f t="array" ref="K12">ROUND(H12*I12,0)</f>
        <v>546</v>
      </c>
      <c r="L12" s="15" cm="1">
        <f t="array" ref="L12">K12*J12</f>
        <v>758940</v>
      </c>
      <c r="M12" s="15">
        <v>28600</v>
      </c>
      <c r="N12" s="15" cm="1">
        <f t="array" ref="N12">D12*M12</f>
        <v>57200</v>
      </c>
      <c r="O12" t="s" s="14">
        <v>40</v>
      </c>
    </row>
    <row r="13" ht="15" customHeight="1">
      <c r="A13" t="s" s="13">
        <v>41</v>
      </c>
      <c r="B13" t="s" s="14">
        <v>16</v>
      </c>
      <c r="C13" s="15">
        <v>176</v>
      </c>
      <c r="D13" s="15">
        <v>147</v>
      </c>
      <c r="E13" s="15">
        <v>48</v>
      </c>
      <c r="F13" s="16" cm="1">
        <f t="array" ref="F13">ROUND(D13/E13,1)</f>
        <v>3.1</v>
      </c>
      <c r="G13" t="s" s="13">
        <v>24</v>
      </c>
      <c r="H13" s="15">
        <v>211</v>
      </c>
      <c r="I13" s="17">
        <v>4.44</v>
      </c>
      <c r="J13" s="15">
        <v>1422</v>
      </c>
      <c r="K13" s="15" cm="1">
        <f t="array" ref="K13">ROUND(H13*I13,0)</f>
        <v>937</v>
      </c>
      <c r="L13" s="15" cm="1">
        <f t="array" ref="L13">K13*J13</f>
        <v>1332414</v>
      </c>
      <c r="M13" s="15">
        <v>28600</v>
      </c>
      <c r="N13" s="15" cm="1">
        <f t="array" ref="N13">D13*M13</f>
        <v>4204200</v>
      </c>
      <c r="O13" t="s" s="14">
        <v>40</v>
      </c>
    </row>
    <row r="14" ht="15" customHeight="1">
      <c r="A14" t="s" s="3">
        <v>42</v>
      </c>
      <c r="B14" t="s" s="4">
        <v>43</v>
      </c>
      <c r="C14" s="5">
        <v>60</v>
      </c>
      <c r="D14" s="5">
        <v>0</v>
      </c>
      <c r="E14" s="5">
        <v>9</v>
      </c>
      <c r="F14" s="6">
        <v>0</v>
      </c>
      <c r="G14" t="s" s="3">
        <v>32</v>
      </c>
      <c r="H14" s="5">
        <v>60</v>
      </c>
      <c r="I14" s="7">
        <v>4.23</v>
      </c>
      <c r="J14" s="5">
        <v>1095</v>
      </c>
      <c r="K14" s="5" cm="1">
        <f t="array" ref="K14">ROUND(H14*I14,0)</f>
        <v>254</v>
      </c>
      <c r="L14" s="5" cm="1">
        <f t="array" ref="L14">K14*J14</f>
        <v>278130</v>
      </c>
      <c r="M14" s="5">
        <v>23000</v>
      </c>
      <c r="N14" s="5" cm="1">
        <f t="array" ref="N14">D14*M14</f>
        <v>0</v>
      </c>
      <c r="O14" t="s" s="4">
        <v>18</v>
      </c>
    </row>
    <row r="15" ht="15" customHeight="1">
      <c r="A15" t="s" s="3">
        <v>44</v>
      </c>
      <c r="B15" t="s" s="4">
        <v>43</v>
      </c>
      <c r="C15" s="5">
        <v>74</v>
      </c>
      <c r="D15" s="5">
        <v>0</v>
      </c>
      <c r="E15" s="5">
        <v>9</v>
      </c>
      <c r="F15" s="6">
        <v>0</v>
      </c>
      <c r="G15" t="s" s="3">
        <v>45</v>
      </c>
      <c r="H15" s="5">
        <v>74</v>
      </c>
      <c r="I15" s="7">
        <v>4.36</v>
      </c>
      <c r="J15" s="5">
        <v>1190</v>
      </c>
      <c r="K15" s="5" cm="1">
        <f t="array" ref="K15">ROUND(H15*I15,0)</f>
        <v>323</v>
      </c>
      <c r="L15" s="5" cm="1">
        <f t="array" ref="L15">K15*J15</f>
        <v>384370</v>
      </c>
      <c r="M15" s="5">
        <v>23000</v>
      </c>
      <c r="N15" s="5" cm="1">
        <f t="array" ref="N15">D15*M15</f>
        <v>0</v>
      </c>
      <c r="O15" t="s" s="4">
        <v>18</v>
      </c>
    </row>
    <row r="16" ht="15" customHeight="1">
      <c r="A16" t="s" s="3">
        <v>46</v>
      </c>
      <c r="B16" t="s" s="4">
        <v>43</v>
      </c>
      <c r="C16" s="5">
        <v>68</v>
      </c>
      <c r="D16" s="5">
        <v>0</v>
      </c>
      <c r="E16" s="5">
        <v>9</v>
      </c>
      <c r="F16" s="6">
        <v>0</v>
      </c>
      <c r="G16" t="s" s="3">
        <v>47</v>
      </c>
      <c r="H16" s="5">
        <v>68</v>
      </c>
      <c r="I16" s="7">
        <v>4.09</v>
      </c>
      <c r="J16" s="5">
        <v>1206</v>
      </c>
      <c r="K16" s="5" cm="1">
        <f t="array" ref="K16">ROUND(H16*I16,0)</f>
        <v>278</v>
      </c>
      <c r="L16" s="5" cm="1">
        <f t="array" ref="L16">K16*J16</f>
        <v>335268</v>
      </c>
      <c r="M16" s="5">
        <v>23575</v>
      </c>
      <c r="N16" s="5" cm="1">
        <f t="array" ref="N16">D16*M16</f>
        <v>0</v>
      </c>
      <c r="O16" t="s" s="4">
        <v>18</v>
      </c>
    </row>
    <row r="17" ht="15" customHeight="1">
      <c r="A17" t="s" s="3">
        <v>48</v>
      </c>
      <c r="B17" t="s" s="4">
        <v>43</v>
      </c>
      <c r="C17" s="5">
        <v>78</v>
      </c>
      <c r="D17" s="5">
        <v>0</v>
      </c>
      <c r="E17" s="5">
        <v>9</v>
      </c>
      <c r="F17" s="6">
        <v>0</v>
      </c>
      <c r="G17" t="s" s="3">
        <v>49</v>
      </c>
      <c r="H17" s="5">
        <v>78</v>
      </c>
      <c r="I17" s="7">
        <v>4.25</v>
      </c>
      <c r="J17" s="5">
        <v>1279</v>
      </c>
      <c r="K17" s="5" cm="1">
        <f t="array" ref="K17">ROUND(H17*I17,0)</f>
        <v>332</v>
      </c>
      <c r="L17" s="5" cm="1">
        <f t="array" ref="L17">K17*J17</f>
        <v>424628</v>
      </c>
      <c r="M17" s="5">
        <v>23575</v>
      </c>
      <c r="N17" s="5" cm="1">
        <f t="array" ref="N17">D17*M17</f>
        <v>0</v>
      </c>
      <c r="O17" t="s" s="4">
        <v>18</v>
      </c>
    </row>
    <row r="18" ht="15" customHeight="1">
      <c r="A18" t="s" s="13">
        <v>50</v>
      </c>
      <c r="B18" t="s" s="14">
        <v>43</v>
      </c>
      <c r="C18" s="15">
        <v>66</v>
      </c>
      <c r="D18" s="15">
        <v>6</v>
      </c>
      <c r="E18" s="15">
        <v>9</v>
      </c>
      <c r="F18" s="16" cm="1">
        <f t="array" ref="F18">ROUND(D18/E18,1)</f>
        <v>0.7</v>
      </c>
      <c r="G18" t="s" s="13">
        <v>51</v>
      </c>
      <c r="H18" s="15">
        <v>66</v>
      </c>
      <c r="I18" s="17">
        <v>4.78</v>
      </c>
      <c r="J18" s="15">
        <v>1289</v>
      </c>
      <c r="K18" s="15" cm="1">
        <f t="array" ref="K18">ROUND(H18*I18,0)</f>
        <v>315</v>
      </c>
      <c r="L18" s="15" cm="1">
        <f t="array" ref="L18">K18*J18</f>
        <v>406035</v>
      </c>
      <c r="M18" s="15">
        <v>24150</v>
      </c>
      <c r="N18" s="15" cm="1">
        <f t="array" ref="N18">D18*M18</f>
        <v>144900</v>
      </c>
      <c r="O18" t="s" s="14">
        <v>40</v>
      </c>
    </row>
    <row r="19" ht="15" customHeight="1">
      <c r="A19" t="s" s="13">
        <v>52</v>
      </c>
      <c r="B19" t="s" s="14">
        <v>43</v>
      </c>
      <c r="C19" s="15">
        <v>49</v>
      </c>
      <c r="D19" s="15">
        <v>2</v>
      </c>
      <c r="E19" s="15">
        <v>9</v>
      </c>
      <c r="F19" s="16" cm="1">
        <f t="array" ref="F19">ROUND(D19/E19,1)</f>
        <v>0.2</v>
      </c>
      <c r="G19" t="s" s="13">
        <v>39</v>
      </c>
      <c r="H19" s="15">
        <v>58</v>
      </c>
      <c r="I19" s="17">
        <v>4.78</v>
      </c>
      <c r="J19" s="15">
        <v>1324</v>
      </c>
      <c r="K19" s="15" cm="1">
        <f t="array" ref="K19">ROUND(H19*I19,0)</f>
        <v>277</v>
      </c>
      <c r="L19" s="15" cm="1">
        <f t="array" ref="L19">K19*J19</f>
        <v>366748</v>
      </c>
      <c r="M19" s="15">
        <v>24150</v>
      </c>
      <c r="N19" s="15" cm="1">
        <f t="array" ref="N19">D19*M19</f>
        <v>48300</v>
      </c>
      <c r="O19" t="s" s="14">
        <v>40</v>
      </c>
    </row>
    <row r="20" ht="15" customHeight="1">
      <c r="A20" t="s" s="13">
        <v>53</v>
      </c>
      <c r="B20" t="s" s="14">
        <v>43</v>
      </c>
      <c r="C20" s="15">
        <v>45</v>
      </c>
      <c r="D20" s="15">
        <v>6</v>
      </c>
      <c r="E20" s="15">
        <v>9</v>
      </c>
      <c r="F20" s="16" cm="1">
        <f t="array" ref="F20">ROUND(D20/E20,1)</f>
        <v>0.7</v>
      </c>
      <c r="G20" t="s" s="13">
        <v>54</v>
      </c>
      <c r="H20" s="15">
        <v>54</v>
      </c>
      <c r="I20" s="17">
        <v>4.72</v>
      </c>
      <c r="J20" s="15">
        <v>1349</v>
      </c>
      <c r="K20" s="15" cm="1">
        <f t="array" ref="K20">ROUND(H20*I20,0)</f>
        <v>255</v>
      </c>
      <c r="L20" s="15" cm="1">
        <f t="array" ref="L20">K20*J20</f>
        <v>343995</v>
      </c>
      <c r="M20" s="15">
        <v>24150</v>
      </c>
      <c r="N20" s="15" cm="1">
        <f t="array" ref="N20">D20*M20</f>
        <v>144900</v>
      </c>
      <c r="O20" t="s" s="14">
        <v>40</v>
      </c>
    </row>
    <row r="21" ht="15" customHeight="1">
      <c r="A21" t="s" s="13">
        <v>55</v>
      </c>
      <c r="B21" t="s" s="14">
        <v>43</v>
      </c>
      <c r="C21" s="15">
        <v>49</v>
      </c>
      <c r="D21" s="15">
        <v>1</v>
      </c>
      <c r="E21" s="15">
        <v>9</v>
      </c>
      <c r="F21" s="16" cm="1">
        <f t="array" ref="F21">ROUND(D21/E21,1)</f>
        <v>0.1</v>
      </c>
      <c r="G21" t="s" s="13">
        <v>51</v>
      </c>
      <c r="H21" s="15">
        <v>49</v>
      </c>
      <c r="I21" s="17">
        <v>4.21</v>
      </c>
      <c r="J21" s="15">
        <v>1310</v>
      </c>
      <c r="K21" s="15" cm="1">
        <f t="array" ref="K21">ROUND(H21*I21,0)</f>
        <v>206</v>
      </c>
      <c r="L21" s="15" cm="1">
        <f t="array" ref="L21">K21*J21</f>
        <v>269860</v>
      </c>
      <c r="M21" s="15">
        <v>24725</v>
      </c>
      <c r="N21" s="15" cm="1">
        <f t="array" ref="N21">D21*M21</f>
        <v>24725</v>
      </c>
      <c r="O21" t="s" s="14">
        <v>40</v>
      </c>
    </row>
    <row r="22" ht="15" customHeight="1">
      <c r="A22" t="s" s="13">
        <v>56</v>
      </c>
      <c r="B22" t="s" s="14">
        <v>43</v>
      </c>
      <c r="C22" s="15">
        <v>74</v>
      </c>
      <c r="D22" s="15">
        <v>6</v>
      </c>
      <c r="E22" s="15">
        <v>9</v>
      </c>
      <c r="F22" s="16" cm="1">
        <f t="array" ref="F22">ROUND(D22/E22,1)</f>
        <v>0.7</v>
      </c>
      <c r="G22" t="s" s="13">
        <v>57</v>
      </c>
      <c r="H22" s="15">
        <v>88</v>
      </c>
      <c r="I22" s="17">
        <v>4.56</v>
      </c>
      <c r="J22" s="15">
        <v>1342</v>
      </c>
      <c r="K22" s="15" cm="1">
        <f t="array" ref="K22">ROUND(H22*I22,0)</f>
        <v>401</v>
      </c>
      <c r="L22" s="15" cm="1">
        <f t="array" ref="L22">K22*J22</f>
        <v>538142</v>
      </c>
      <c r="M22" s="15">
        <v>24725</v>
      </c>
      <c r="N22" s="15" cm="1">
        <f t="array" ref="N22">D22*M22</f>
        <v>148350</v>
      </c>
      <c r="O22" t="s" s="14">
        <v>40</v>
      </c>
    </row>
    <row r="23" ht="15" customHeight="1">
      <c r="A23" t="s" s="13">
        <v>58</v>
      </c>
      <c r="B23" t="s" s="14">
        <v>43</v>
      </c>
      <c r="C23" s="15">
        <v>60</v>
      </c>
      <c r="D23" s="15">
        <v>5</v>
      </c>
      <c r="E23" s="15">
        <v>9</v>
      </c>
      <c r="F23" s="16" cm="1">
        <f t="array" ref="F23">ROUND(D23/E23,1)</f>
        <v>0.6</v>
      </c>
      <c r="G23" t="s" s="13">
        <v>59</v>
      </c>
      <c r="H23" s="15">
        <v>60</v>
      </c>
      <c r="I23" s="17">
        <v>4.97</v>
      </c>
      <c r="J23" s="15">
        <v>1337</v>
      </c>
      <c r="K23" s="15" cm="1">
        <f t="array" ref="K23">ROUND(H23*I23,0)</f>
        <v>298</v>
      </c>
      <c r="L23" s="15" cm="1">
        <f t="array" ref="L23">K23*J23</f>
        <v>398426</v>
      </c>
      <c r="M23" s="15">
        <v>24725</v>
      </c>
      <c r="N23" s="15" cm="1">
        <f t="array" ref="N23">D23*M23</f>
        <v>123625</v>
      </c>
      <c r="O23" t="s" s="14">
        <v>40</v>
      </c>
    </row>
    <row r="24" ht="15" customHeight="1">
      <c r="A24" t="s" s="13">
        <v>60</v>
      </c>
      <c r="B24" t="s" s="14">
        <v>43</v>
      </c>
      <c r="C24" s="15">
        <v>76</v>
      </c>
      <c r="D24" s="15">
        <v>5</v>
      </c>
      <c r="E24" s="15">
        <v>9</v>
      </c>
      <c r="F24" s="16" cm="1">
        <f t="array" ref="F24">ROUND(D24/E24,1)</f>
        <v>0.6</v>
      </c>
      <c r="G24" t="s" s="13">
        <v>61</v>
      </c>
      <c r="H24" s="15">
        <v>91</v>
      </c>
      <c r="I24" s="17">
        <v>4.75</v>
      </c>
      <c r="J24" s="15">
        <v>1386</v>
      </c>
      <c r="K24" s="15" cm="1">
        <f t="array" ref="K24">ROUND(H24*I24,0)</f>
        <v>432</v>
      </c>
      <c r="L24" s="15" cm="1">
        <f t="array" ref="L24">K24*J24</f>
        <v>598752</v>
      </c>
      <c r="M24" s="15">
        <v>25300</v>
      </c>
      <c r="N24" s="15" cm="1">
        <f t="array" ref="N24">D24*M24</f>
        <v>126500</v>
      </c>
      <c r="O24" t="s" s="14">
        <v>40</v>
      </c>
    </row>
    <row r="25" ht="15" customHeight="1">
      <c r="A25" t="s" s="13">
        <v>62</v>
      </c>
      <c r="B25" t="s" s="14">
        <v>43</v>
      </c>
      <c r="C25" s="15">
        <v>57</v>
      </c>
      <c r="D25" s="15">
        <v>23</v>
      </c>
      <c r="E25" s="15">
        <v>9</v>
      </c>
      <c r="F25" s="16" cm="1">
        <f t="array" ref="F25">ROUND(D25/E25,1)</f>
        <v>2.6</v>
      </c>
      <c r="G25" t="s" s="13">
        <v>63</v>
      </c>
      <c r="H25" s="15">
        <v>57</v>
      </c>
      <c r="I25" s="17">
        <v>5.2</v>
      </c>
      <c r="J25" s="15">
        <v>1460</v>
      </c>
      <c r="K25" s="15" cm="1">
        <f t="array" ref="K25">ROUND(H25*I25,0)</f>
        <v>296</v>
      </c>
      <c r="L25" s="15" cm="1">
        <f t="array" ref="L25">K25*J25</f>
        <v>432160</v>
      </c>
      <c r="M25" s="15">
        <v>25300</v>
      </c>
      <c r="N25" s="15" cm="1">
        <f t="array" ref="N25">D25*M25</f>
        <v>581900</v>
      </c>
      <c r="O25" t="s" s="14">
        <v>40</v>
      </c>
    </row>
    <row r="26" ht="15" customHeight="1">
      <c r="A26" t="s" s="3">
        <v>64</v>
      </c>
      <c r="B26" t="s" s="4">
        <v>65</v>
      </c>
      <c r="C26" s="5">
        <v>94</v>
      </c>
      <c r="D26" s="5">
        <v>0</v>
      </c>
      <c r="E26" s="5">
        <v>12</v>
      </c>
      <c r="F26" s="6">
        <v>0</v>
      </c>
      <c r="G26" t="s" s="3">
        <v>66</v>
      </c>
      <c r="H26" s="5">
        <v>94</v>
      </c>
      <c r="I26" s="7">
        <v>3.29</v>
      </c>
      <c r="J26" s="5">
        <v>1132</v>
      </c>
      <c r="K26" s="5" cm="1">
        <f t="array" ref="K26">ROUND(H26*I26,0)</f>
        <v>309</v>
      </c>
      <c r="L26" s="5" cm="1">
        <f t="array" ref="L26">K26*J26</f>
        <v>349788</v>
      </c>
      <c r="M26" s="5">
        <v>45000</v>
      </c>
      <c r="N26" s="5" cm="1">
        <f t="array" ref="N26">D26*M26</f>
        <v>0</v>
      </c>
      <c r="O26" t="s" s="4">
        <v>18</v>
      </c>
    </row>
    <row r="27" ht="15" customHeight="1">
      <c r="A27" t="s" s="3">
        <v>67</v>
      </c>
      <c r="B27" t="s" s="4">
        <v>65</v>
      </c>
      <c r="C27" s="5">
        <v>76</v>
      </c>
      <c r="D27" s="5">
        <v>0</v>
      </c>
      <c r="E27" s="5">
        <v>12</v>
      </c>
      <c r="F27" s="6">
        <v>0</v>
      </c>
      <c r="G27" t="s" s="3">
        <v>68</v>
      </c>
      <c r="H27" s="5">
        <v>60</v>
      </c>
      <c r="I27" s="7">
        <v>3.15</v>
      </c>
      <c r="J27" s="5">
        <v>1130</v>
      </c>
      <c r="K27" s="5" cm="1">
        <f t="array" ref="K27">ROUND(H27*I27,0)</f>
        <v>189</v>
      </c>
      <c r="L27" s="5" cm="1">
        <f t="array" ref="L27">K27*J27</f>
        <v>213570</v>
      </c>
      <c r="M27" s="5">
        <v>45000</v>
      </c>
      <c r="N27" s="5" cm="1">
        <f t="array" ref="N27">D27*M27</f>
        <v>0</v>
      </c>
      <c r="O27" t="s" s="4">
        <v>18</v>
      </c>
    </row>
    <row r="28" ht="15" customHeight="1">
      <c r="A28" t="s" s="3">
        <v>69</v>
      </c>
      <c r="B28" t="s" s="4">
        <v>65</v>
      </c>
      <c r="C28" s="5">
        <v>86</v>
      </c>
      <c r="D28" s="5">
        <v>0</v>
      </c>
      <c r="E28" s="5">
        <v>12</v>
      </c>
      <c r="F28" s="6">
        <v>0</v>
      </c>
      <c r="G28" t="s" s="3">
        <v>30</v>
      </c>
      <c r="H28" s="5">
        <v>86</v>
      </c>
      <c r="I28" s="7">
        <v>3.45</v>
      </c>
      <c r="J28" s="5">
        <v>1181</v>
      </c>
      <c r="K28" s="5" cm="1">
        <f t="array" ref="K28">ROUND(H28*I28,0)</f>
        <v>297</v>
      </c>
      <c r="L28" s="5" cm="1">
        <f t="array" ref="L28">K28*J28</f>
        <v>350757</v>
      </c>
      <c r="M28" s="5">
        <v>45000</v>
      </c>
      <c r="N28" s="5" cm="1">
        <f t="array" ref="N28">D28*M28</f>
        <v>0</v>
      </c>
      <c r="O28" t="s" s="4">
        <v>18</v>
      </c>
    </row>
    <row r="29" ht="15" customHeight="1">
      <c r="A29" t="s" s="3">
        <v>70</v>
      </c>
      <c r="B29" t="s" s="4">
        <v>65</v>
      </c>
      <c r="C29" s="5">
        <v>86</v>
      </c>
      <c r="D29" s="5">
        <v>0</v>
      </c>
      <c r="E29" s="5">
        <v>12</v>
      </c>
      <c r="F29" s="6">
        <v>0</v>
      </c>
      <c r="G29" t="s" s="3">
        <v>17</v>
      </c>
      <c r="H29" s="5">
        <v>86</v>
      </c>
      <c r="I29" s="7">
        <v>3.22</v>
      </c>
      <c r="J29" s="5">
        <v>1314</v>
      </c>
      <c r="K29" s="5" cm="1">
        <f t="array" ref="K29">ROUND(H29*I29,0)</f>
        <v>277</v>
      </c>
      <c r="L29" s="5" cm="1">
        <f t="array" ref="L29">K29*J29</f>
        <v>363978</v>
      </c>
      <c r="M29" s="5">
        <v>46125</v>
      </c>
      <c r="N29" s="5" cm="1">
        <f t="array" ref="N29">D29*M29</f>
        <v>0</v>
      </c>
      <c r="O29" t="s" s="4">
        <v>18</v>
      </c>
    </row>
    <row r="30" ht="15" customHeight="1">
      <c r="A30" t="s" s="3">
        <v>71</v>
      </c>
      <c r="B30" t="s" s="4">
        <v>65</v>
      </c>
      <c r="C30" s="5">
        <v>70</v>
      </c>
      <c r="D30" s="5">
        <v>0</v>
      </c>
      <c r="E30" s="5">
        <v>12</v>
      </c>
      <c r="F30" s="6">
        <v>0</v>
      </c>
      <c r="G30" t="s" s="3">
        <v>61</v>
      </c>
      <c r="H30" s="5">
        <v>70</v>
      </c>
      <c r="I30" s="7">
        <v>3.53</v>
      </c>
      <c r="J30" s="5">
        <v>1333</v>
      </c>
      <c r="K30" s="5" cm="1">
        <f t="array" ref="K30">ROUND(H30*I30,0)</f>
        <v>247</v>
      </c>
      <c r="L30" s="5" cm="1">
        <f t="array" ref="L30">K30*J30</f>
        <v>329251</v>
      </c>
      <c r="M30" s="5">
        <v>46125</v>
      </c>
      <c r="N30" s="5" cm="1">
        <f t="array" ref="N30">D30*M30</f>
        <v>0</v>
      </c>
      <c r="O30" t="s" s="4">
        <v>18</v>
      </c>
    </row>
    <row r="31" ht="15" customHeight="1">
      <c r="A31" t="s" s="3">
        <v>72</v>
      </c>
      <c r="B31" t="s" s="4">
        <v>65</v>
      </c>
      <c r="C31" s="5">
        <v>61</v>
      </c>
      <c r="D31" s="5">
        <v>0</v>
      </c>
      <c r="E31" s="5">
        <v>12</v>
      </c>
      <c r="F31" s="6">
        <v>0</v>
      </c>
      <c r="G31" t="s" s="3">
        <v>59</v>
      </c>
      <c r="H31" s="5">
        <v>61</v>
      </c>
      <c r="I31" s="7">
        <v>3.38</v>
      </c>
      <c r="J31" s="5">
        <v>1356</v>
      </c>
      <c r="K31" s="5" cm="1">
        <f t="array" ref="K31">ROUND(H31*I31,0)</f>
        <v>206</v>
      </c>
      <c r="L31" s="5" cm="1">
        <f t="array" ref="L31">K31*J31</f>
        <v>279336</v>
      </c>
      <c r="M31" s="5">
        <v>46125</v>
      </c>
      <c r="N31" s="5" cm="1">
        <f t="array" ref="N31">D31*M31</f>
        <v>0</v>
      </c>
      <c r="O31" t="s" s="4">
        <v>18</v>
      </c>
    </row>
    <row r="32" ht="15" customHeight="1">
      <c r="A32" t="s" s="13">
        <v>73</v>
      </c>
      <c r="B32" t="s" s="14">
        <v>65</v>
      </c>
      <c r="C32" s="15">
        <v>89</v>
      </c>
      <c r="D32" s="15">
        <v>2</v>
      </c>
      <c r="E32" s="15">
        <v>12</v>
      </c>
      <c r="F32" s="16" cm="1">
        <f t="array" ref="F32">ROUND(D32/E32,1)</f>
        <v>0.2</v>
      </c>
      <c r="G32" t="s" s="13">
        <v>17</v>
      </c>
      <c r="H32" s="15">
        <v>106</v>
      </c>
      <c r="I32" s="17">
        <v>3.36</v>
      </c>
      <c r="J32" s="15">
        <v>1311</v>
      </c>
      <c r="K32" s="15" cm="1">
        <f t="array" ref="K32">ROUND(H32*I32,0)</f>
        <v>356</v>
      </c>
      <c r="L32" s="15" cm="1">
        <f t="array" ref="L32">K32*J32</f>
        <v>466716</v>
      </c>
      <c r="M32" s="15">
        <v>47250</v>
      </c>
      <c r="N32" s="15" cm="1">
        <f t="array" ref="N32">D32*M32</f>
        <v>94500</v>
      </c>
      <c r="O32" t="s" s="14">
        <v>40</v>
      </c>
    </row>
    <row r="33" ht="15" customHeight="1">
      <c r="A33" t="s" s="13">
        <v>74</v>
      </c>
      <c r="B33" t="s" s="14">
        <v>65</v>
      </c>
      <c r="C33" s="15">
        <v>81</v>
      </c>
      <c r="D33" s="15">
        <v>10</v>
      </c>
      <c r="E33" s="15">
        <v>12</v>
      </c>
      <c r="F33" s="16" cm="1">
        <f t="array" ref="F33">ROUND(D33/E33,1)</f>
        <v>0.8</v>
      </c>
      <c r="G33" t="s" s="13">
        <v>37</v>
      </c>
      <c r="H33" s="15">
        <v>81</v>
      </c>
      <c r="I33" s="17">
        <v>3.51</v>
      </c>
      <c r="J33" s="15">
        <v>1304</v>
      </c>
      <c r="K33" s="15" cm="1">
        <f t="array" ref="K33">ROUND(H33*I33,0)</f>
        <v>284</v>
      </c>
      <c r="L33" s="15" cm="1">
        <f t="array" ref="L33">K33*J33</f>
        <v>370336</v>
      </c>
      <c r="M33" s="15">
        <v>47250</v>
      </c>
      <c r="N33" s="15" cm="1">
        <f t="array" ref="N33">D33*M33</f>
        <v>472500</v>
      </c>
      <c r="O33" t="s" s="14">
        <v>40</v>
      </c>
    </row>
    <row r="34" ht="15" customHeight="1">
      <c r="A34" t="s" s="13">
        <v>75</v>
      </c>
      <c r="B34" t="s" s="14">
        <v>65</v>
      </c>
      <c r="C34" s="15">
        <v>94</v>
      </c>
      <c r="D34" s="15">
        <v>1</v>
      </c>
      <c r="E34" s="15">
        <v>12</v>
      </c>
      <c r="F34" s="16" cm="1">
        <f t="array" ref="F34">ROUND(D34/E34,1)</f>
        <v>0.1</v>
      </c>
      <c r="G34" t="s" s="13">
        <v>68</v>
      </c>
      <c r="H34" s="15">
        <v>94</v>
      </c>
      <c r="I34" s="17">
        <v>3.42</v>
      </c>
      <c r="J34" s="15">
        <v>1331</v>
      </c>
      <c r="K34" s="15" cm="1">
        <f t="array" ref="K34">ROUND(H34*I34,0)</f>
        <v>321</v>
      </c>
      <c r="L34" s="15" cm="1">
        <f t="array" ref="L34">K34*J34</f>
        <v>427251</v>
      </c>
      <c r="M34" s="15">
        <v>48375</v>
      </c>
      <c r="N34" s="15" cm="1">
        <f t="array" ref="N34">D34*M34</f>
        <v>48375</v>
      </c>
      <c r="O34" t="s" s="14">
        <v>40</v>
      </c>
    </row>
    <row r="35" ht="15" customHeight="1">
      <c r="A35" t="s" s="13">
        <v>76</v>
      </c>
      <c r="B35" t="s" s="14">
        <v>65</v>
      </c>
      <c r="C35" s="15">
        <v>80</v>
      </c>
      <c r="D35" s="15">
        <v>2</v>
      </c>
      <c r="E35" s="15">
        <v>12</v>
      </c>
      <c r="F35" s="16" cm="1">
        <f t="array" ref="F35">ROUND(D35/E35,1)</f>
        <v>0.2</v>
      </c>
      <c r="G35" t="s" s="13">
        <v>57</v>
      </c>
      <c r="H35" s="15">
        <v>64</v>
      </c>
      <c r="I35" s="17">
        <v>3.68</v>
      </c>
      <c r="J35" s="15">
        <v>1343</v>
      </c>
      <c r="K35" s="15" cm="1">
        <f t="array" ref="K35">ROUND(H35*I35,0)</f>
        <v>236</v>
      </c>
      <c r="L35" s="15" cm="1">
        <f t="array" ref="L35">K35*J35</f>
        <v>316948</v>
      </c>
      <c r="M35" s="15">
        <v>48375</v>
      </c>
      <c r="N35" s="15" cm="1">
        <f t="array" ref="N35">D35*M35</f>
        <v>96750</v>
      </c>
      <c r="O35" t="s" s="14">
        <v>40</v>
      </c>
    </row>
    <row r="36" ht="15" customHeight="1">
      <c r="A36" t="s" s="13">
        <v>77</v>
      </c>
      <c r="B36" t="s" s="14">
        <v>65</v>
      </c>
      <c r="C36" s="15">
        <v>55</v>
      </c>
      <c r="D36" s="15">
        <v>1</v>
      </c>
      <c r="E36" s="15">
        <v>12</v>
      </c>
      <c r="F36" s="16" cm="1">
        <f t="array" ref="F36">ROUND(D36/E36,1)</f>
        <v>0.1</v>
      </c>
      <c r="G36" t="s" s="13">
        <v>57</v>
      </c>
      <c r="H36" s="15">
        <v>55</v>
      </c>
      <c r="I36" s="17">
        <v>3.37</v>
      </c>
      <c r="J36" s="15">
        <v>1462</v>
      </c>
      <c r="K36" s="15" cm="1">
        <f t="array" ref="K36">ROUND(H36*I36,0)</f>
        <v>185</v>
      </c>
      <c r="L36" s="15" cm="1">
        <f t="array" ref="L36">K36*J36</f>
        <v>270470</v>
      </c>
      <c r="M36" s="15">
        <v>49500</v>
      </c>
      <c r="N36" s="15" cm="1">
        <f t="array" ref="N36">D36*M36</f>
        <v>49500</v>
      </c>
      <c r="O36" t="s" s="14">
        <v>40</v>
      </c>
    </row>
    <row r="37" ht="15" customHeight="1">
      <c r="A37" t="s" s="13">
        <v>78</v>
      </c>
      <c r="B37" t="s" s="14">
        <v>65</v>
      </c>
      <c r="C37" s="15">
        <v>85</v>
      </c>
      <c r="D37" s="15">
        <v>11</v>
      </c>
      <c r="E37" s="15">
        <v>12</v>
      </c>
      <c r="F37" s="16" cm="1">
        <f t="array" ref="F37">ROUND(D37/E37,1)</f>
        <v>0.9</v>
      </c>
      <c r="G37" t="s" s="13">
        <v>79</v>
      </c>
      <c r="H37" s="15">
        <v>68</v>
      </c>
      <c r="I37" s="17">
        <v>3.92</v>
      </c>
      <c r="J37" s="15">
        <v>1396</v>
      </c>
      <c r="K37" s="15" cm="1">
        <f t="array" ref="K37">ROUND(H37*I37,0)</f>
        <v>267</v>
      </c>
      <c r="L37" s="15" cm="1">
        <f t="array" ref="L37">K37*J37</f>
        <v>372732</v>
      </c>
      <c r="M37" s="15">
        <v>49500</v>
      </c>
      <c r="N37" s="15" cm="1">
        <f t="array" ref="N37">D37*M37</f>
        <v>544500</v>
      </c>
      <c r="O37" t="s" s="14">
        <v>40</v>
      </c>
    </row>
    <row r="38" ht="15" customHeight="1">
      <c r="A38" t="s" s="13">
        <v>80</v>
      </c>
      <c r="B38" t="s" s="14">
        <v>65</v>
      </c>
      <c r="C38" s="15">
        <v>75</v>
      </c>
      <c r="D38" s="15">
        <v>61</v>
      </c>
      <c r="E38" s="15">
        <v>12</v>
      </c>
      <c r="F38" s="16" cm="1">
        <f t="array" ref="F38">ROUND(D38/E38,1)</f>
        <v>5.1</v>
      </c>
      <c r="G38" t="s" s="13">
        <v>81</v>
      </c>
      <c r="H38" s="15">
        <v>75</v>
      </c>
      <c r="I38" s="17">
        <v>3.95</v>
      </c>
      <c r="J38" s="15">
        <v>1417</v>
      </c>
      <c r="K38" s="15" cm="1">
        <f t="array" ref="K38">ROUND(H38*I38,0)</f>
        <v>296</v>
      </c>
      <c r="L38" s="15" cm="1">
        <f t="array" ref="L38">K38*J38</f>
        <v>419432</v>
      </c>
      <c r="M38" s="15">
        <v>49500</v>
      </c>
      <c r="N38" s="15" cm="1">
        <f t="array" ref="N38">D38*M38</f>
        <v>3019500</v>
      </c>
      <c r="O38" t="s" s="14">
        <v>40</v>
      </c>
    </row>
    <row r="39" ht="15" customHeight="1">
      <c r="A39" t="s" s="13">
        <v>82</v>
      </c>
      <c r="B39" t="s" s="14">
        <v>65</v>
      </c>
      <c r="C39" s="15">
        <v>54</v>
      </c>
      <c r="D39" s="15">
        <v>33</v>
      </c>
      <c r="E39" s="15">
        <v>12</v>
      </c>
      <c r="F39" s="16" cm="1">
        <f t="array" ref="F39">ROUND(D39/E39,1)</f>
        <v>2.8</v>
      </c>
      <c r="G39" t="s" s="13">
        <v>83</v>
      </c>
      <c r="H39" s="15">
        <v>54</v>
      </c>
      <c r="I39" s="17">
        <v>3.97</v>
      </c>
      <c r="J39" s="15">
        <v>1464</v>
      </c>
      <c r="K39" s="15" cm="1">
        <f t="array" ref="K39">ROUND(H39*I39,0)</f>
        <v>214</v>
      </c>
      <c r="L39" s="15" cm="1">
        <f t="array" ref="L39">K39*J39</f>
        <v>313296</v>
      </c>
      <c r="M39" s="15">
        <v>50625</v>
      </c>
      <c r="N39" s="15" cm="1">
        <f t="array" ref="N39">D39*M39</f>
        <v>1670625</v>
      </c>
      <c r="O39" t="s" s="14">
        <v>40</v>
      </c>
    </row>
    <row r="40" ht="15" customHeight="1">
      <c r="A40" t="s" s="3">
        <v>84</v>
      </c>
      <c r="B40" t="s" s="4">
        <v>85</v>
      </c>
      <c r="C40" s="5">
        <v>237</v>
      </c>
      <c r="D40" s="5">
        <v>0</v>
      </c>
      <c r="E40" s="5">
        <v>57</v>
      </c>
      <c r="F40" s="6">
        <v>0</v>
      </c>
      <c r="G40" t="s" s="3">
        <v>45</v>
      </c>
      <c r="H40" s="5">
        <v>284</v>
      </c>
      <c r="I40" s="7">
        <v>0.55</v>
      </c>
      <c r="J40" s="5">
        <v>1126</v>
      </c>
      <c r="K40" s="5" cm="1">
        <f t="array" ref="K40">ROUND(H40*I40,0)</f>
        <v>156</v>
      </c>
      <c r="L40" s="5" cm="1">
        <f t="array" ref="L40">K40*J40</f>
        <v>175656</v>
      </c>
      <c r="M40" s="5">
        <v>17500</v>
      </c>
      <c r="N40" s="5" cm="1">
        <f t="array" ref="N40">D40*M40</f>
        <v>0</v>
      </c>
      <c r="O40" t="s" s="4">
        <v>18</v>
      </c>
    </row>
    <row r="41" ht="15" customHeight="1">
      <c r="A41" t="s" s="3">
        <v>86</v>
      </c>
      <c r="B41" t="s" s="4">
        <v>85</v>
      </c>
      <c r="C41" s="5">
        <v>165</v>
      </c>
      <c r="D41" s="5">
        <v>0</v>
      </c>
      <c r="E41" s="5">
        <v>57</v>
      </c>
      <c r="F41" s="6">
        <v>0</v>
      </c>
      <c r="G41" t="s" s="3">
        <v>22</v>
      </c>
      <c r="H41" s="5">
        <v>165</v>
      </c>
      <c r="I41" s="7">
        <v>0.55</v>
      </c>
      <c r="J41" s="5">
        <v>1181</v>
      </c>
      <c r="K41" s="5" cm="1">
        <f t="array" ref="K41">ROUND(H41*I41,0)</f>
        <v>91</v>
      </c>
      <c r="L41" s="5" cm="1">
        <f t="array" ref="L41">K41*J41</f>
        <v>107471</v>
      </c>
      <c r="M41" s="5">
        <v>17500</v>
      </c>
      <c r="N41" s="5" cm="1">
        <f t="array" ref="N41">D41*M41</f>
        <v>0</v>
      </c>
      <c r="O41" t="s" s="4">
        <v>18</v>
      </c>
    </row>
    <row r="42" ht="15" customHeight="1">
      <c r="A42" t="s" s="3">
        <v>87</v>
      </c>
      <c r="B42" t="s" s="4">
        <v>85</v>
      </c>
      <c r="C42" s="5">
        <v>224</v>
      </c>
      <c r="D42" s="5">
        <v>0</v>
      </c>
      <c r="E42" s="5">
        <v>57</v>
      </c>
      <c r="F42" s="6">
        <v>0</v>
      </c>
      <c r="G42" t="s" s="3">
        <v>45</v>
      </c>
      <c r="H42" s="5">
        <v>224</v>
      </c>
      <c r="I42" s="7">
        <v>0.5600000000000001</v>
      </c>
      <c r="J42" s="5">
        <v>1193</v>
      </c>
      <c r="K42" s="5" cm="1">
        <f t="array" ref="K42">ROUND(H42*I42,0)</f>
        <v>125</v>
      </c>
      <c r="L42" s="5" cm="1">
        <f t="array" ref="L42">K42*J42</f>
        <v>149125</v>
      </c>
      <c r="M42" s="5">
        <v>17938</v>
      </c>
      <c r="N42" s="5" cm="1">
        <f t="array" ref="N42">D42*M42</f>
        <v>0</v>
      </c>
      <c r="O42" t="s" s="4">
        <v>18</v>
      </c>
    </row>
    <row r="43" ht="15" customHeight="1">
      <c r="A43" t="s" s="3">
        <v>88</v>
      </c>
      <c r="B43" t="s" s="4">
        <v>85</v>
      </c>
      <c r="C43" s="5">
        <v>220</v>
      </c>
      <c r="D43" s="5">
        <v>0</v>
      </c>
      <c r="E43" s="5">
        <v>57</v>
      </c>
      <c r="F43" s="6">
        <v>0</v>
      </c>
      <c r="G43" t="s" s="3">
        <v>26</v>
      </c>
      <c r="H43" s="5">
        <v>220</v>
      </c>
      <c r="I43" s="7">
        <v>0.52</v>
      </c>
      <c r="J43" s="5">
        <v>1294</v>
      </c>
      <c r="K43" s="5" cm="1">
        <f t="array" ref="K43">ROUND(H43*I43,0)</f>
        <v>114</v>
      </c>
      <c r="L43" s="5" cm="1">
        <f t="array" ref="L43">K43*J43</f>
        <v>147516</v>
      </c>
      <c r="M43" s="5">
        <v>17938</v>
      </c>
      <c r="N43" s="5" cm="1">
        <f t="array" ref="N43">D43*M43</f>
        <v>0</v>
      </c>
      <c r="O43" t="s" s="4">
        <v>18</v>
      </c>
    </row>
    <row r="44" ht="15" customHeight="1">
      <c r="A44" t="s" s="3">
        <v>89</v>
      </c>
      <c r="B44" t="s" s="4">
        <v>85</v>
      </c>
      <c r="C44" s="5">
        <v>205</v>
      </c>
      <c r="D44" s="5">
        <v>0</v>
      </c>
      <c r="E44" s="5">
        <v>57</v>
      </c>
      <c r="F44" s="6">
        <v>0</v>
      </c>
      <c r="G44" t="s" s="3">
        <v>26</v>
      </c>
      <c r="H44" s="5">
        <v>164</v>
      </c>
      <c r="I44" s="7">
        <v>0.54</v>
      </c>
      <c r="J44" s="5">
        <v>1312</v>
      </c>
      <c r="K44" s="5" cm="1">
        <f t="array" ref="K44">ROUND(H44*I44,0)</f>
        <v>89</v>
      </c>
      <c r="L44" s="5" cm="1">
        <f t="array" ref="L44">K44*J44</f>
        <v>116768</v>
      </c>
      <c r="M44" s="5">
        <v>17938</v>
      </c>
      <c r="N44" s="5" cm="1">
        <f t="array" ref="N44">D44*M44</f>
        <v>0</v>
      </c>
      <c r="O44" t="s" s="4">
        <v>18</v>
      </c>
    </row>
    <row r="45" ht="15" customHeight="1">
      <c r="A45" t="s" s="3">
        <v>90</v>
      </c>
      <c r="B45" t="s" s="4">
        <v>85</v>
      </c>
      <c r="C45" s="5">
        <v>192</v>
      </c>
      <c r="D45" s="5">
        <v>0</v>
      </c>
      <c r="E45" s="5">
        <v>57</v>
      </c>
      <c r="F45" s="6">
        <v>0</v>
      </c>
      <c r="G45" t="s" s="3">
        <v>47</v>
      </c>
      <c r="H45" s="5">
        <v>153</v>
      </c>
      <c r="I45" s="7">
        <v>0.59</v>
      </c>
      <c r="J45" s="5">
        <v>1315</v>
      </c>
      <c r="K45" s="5" cm="1">
        <f t="array" ref="K45">ROUND(H45*I45,0)</f>
        <v>90</v>
      </c>
      <c r="L45" s="5" cm="1">
        <f t="array" ref="L45">K45*J45</f>
        <v>118350</v>
      </c>
      <c r="M45" s="5">
        <v>18375</v>
      </c>
      <c r="N45" s="5" cm="1">
        <f t="array" ref="N45">D45*M45</f>
        <v>0</v>
      </c>
      <c r="O45" t="s" s="4">
        <v>18</v>
      </c>
    </row>
    <row r="46" ht="15" customHeight="1">
      <c r="A46" t="s" s="3">
        <v>91</v>
      </c>
      <c r="B46" t="s" s="4">
        <v>85</v>
      </c>
      <c r="C46" s="5">
        <v>155</v>
      </c>
      <c r="D46" s="5">
        <v>0</v>
      </c>
      <c r="E46" s="5">
        <v>57</v>
      </c>
      <c r="F46" s="6">
        <v>0</v>
      </c>
      <c r="G46" t="s" s="3">
        <v>20</v>
      </c>
      <c r="H46" s="5">
        <v>124</v>
      </c>
      <c r="I46" s="7">
        <v>0.57</v>
      </c>
      <c r="J46" s="5">
        <v>1286</v>
      </c>
      <c r="K46" s="5" cm="1">
        <f t="array" ref="K46">ROUND(H46*I46,0)</f>
        <v>71</v>
      </c>
      <c r="L46" s="5" cm="1">
        <f t="array" ref="L46">K46*J46</f>
        <v>91306</v>
      </c>
      <c r="M46" s="5">
        <v>18375</v>
      </c>
      <c r="N46" s="5" cm="1">
        <f t="array" ref="N46">D46*M46</f>
        <v>0</v>
      </c>
      <c r="O46" t="s" s="4">
        <v>18</v>
      </c>
    </row>
    <row r="47" ht="15" customHeight="1">
      <c r="A47" t="s" s="3">
        <v>92</v>
      </c>
      <c r="B47" t="s" s="4">
        <v>85</v>
      </c>
      <c r="C47" s="5">
        <v>223</v>
      </c>
      <c r="D47" s="5">
        <v>0</v>
      </c>
      <c r="E47" s="5">
        <v>57</v>
      </c>
      <c r="F47" s="6">
        <v>0</v>
      </c>
      <c r="G47" t="s" s="3">
        <v>45</v>
      </c>
      <c r="H47" s="5">
        <v>223</v>
      </c>
      <c r="I47" s="7">
        <v>0.57</v>
      </c>
      <c r="J47" s="5">
        <v>1339</v>
      </c>
      <c r="K47" s="5" cm="1">
        <f t="array" ref="K47">ROUND(H47*I47,0)</f>
        <v>127</v>
      </c>
      <c r="L47" s="5" cm="1">
        <f t="array" ref="L47">K47*J47</f>
        <v>170053</v>
      </c>
      <c r="M47" s="5">
        <v>18812</v>
      </c>
      <c r="N47" s="5" cm="1">
        <f t="array" ref="N47">D47*M47</f>
        <v>0</v>
      </c>
      <c r="O47" t="s" s="4">
        <v>18</v>
      </c>
    </row>
    <row r="48" ht="15" customHeight="1">
      <c r="A48" t="s" s="3">
        <v>93</v>
      </c>
      <c r="B48" t="s" s="4">
        <v>85</v>
      </c>
      <c r="C48" s="5">
        <v>187</v>
      </c>
      <c r="D48" s="5">
        <v>0</v>
      </c>
      <c r="E48" s="5">
        <v>57</v>
      </c>
      <c r="F48" s="6">
        <v>0</v>
      </c>
      <c r="G48" t="s" s="3">
        <v>26</v>
      </c>
      <c r="H48" s="5">
        <v>224</v>
      </c>
      <c r="I48" s="7">
        <v>0.58</v>
      </c>
      <c r="J48" s="5">
        <v>1372</v>
      </c>
      <c r="K48" s="5" cm="1">
        <f t="array" ref="K48">ROUND(H48*I48,0)</f>
        <v>130</v>
      </c>
      <c r="L48" s="5" cm="1">
        <f t="array" ref="L48">K48*J48</f>
        <v>178360</v>
      </c>
      <c r="M48" s="5">
        <v>18812</v>
      </c>
      <c r="N48" s="5" cm="1">
        <f t="array" ref="N48">D48*M48</f>
        <v>0</v>
      </c>
      <c r="O48" t="s" s="4">
        <v>18</v>
      </c>
    </row>
    <row r="49" ht="15" customHeight="1">
      <c r="A49" t="s" s="3">
        <v>94</v>
      </c>
      <c r="B49" t="s" s="4">
        <v>85</v>
      </c>
      <c r="C49" s="5">
        <v>168</v>
      </c>
      <c r="D49" s="5">
        <v>0</v>
      </c>
      <c r="E49" s="5">
        <v>57</v>
      </c>
      <c r="F49" s="6">
        <v>0</v>
      </c>
      <c r="G49" t="s" s="3">
        <v>95</v>
      </c>
      <c r="H49" s="5">
        <v>168</v>
      </c>
      <c r="I49" s="7">
        <v>0.54</v>
      </c>
      <c r="J49" s="5">
        <v>1336</v>
      </c>
      <c r="K49" s="5" cm="1">
        <f t="array" ref="K49">ROUND(H49*I49,0)</f>
        <v>91</v>
      </c>
      <c r="L49" s="5" cm="1">
        <f t="array" ref="L49">K49*J49</f>
        <v>121576</v>
      </c>
      <c r="M49" s="5">
        <v>18812</v>
      </c>
      <c r="N49" s="5" cm="1">
        <f t="array" ref="N49">D49*M49</f>
        <v>0</v>
      </c>
      <c r="O49" t="s" s="4">
        <v>18</v>
      </c>
    </row>
    <row r="50" ht="15" customHeight="1">
      <c r="A50" t="s" s="13">
        <v>96</v>
      </c>
      <c r="B50" t="s" s="14">
        <v>85</v>
      </c>
      <c r="C50" s="15">
        <v>216</v>
      </c>
      <c r="D50" s="15">
        <v>20</v>
      </c>
      <c r="E50" s="15">
        <v>57</v>
      </c>
      <c r="F50" s="16" cm="1">
        <f t="array" ref="F50">ROUND(D50/E50,1)</f>
        <v>0.4</v>
      </c>
      <c r="G50" t="s" s="13">
        <v>51</v>
      </c>
      <c r="H50" s="15">
        <v>259</v>
      </c>
      <c r="I50" s="17">
        <v>0.63</v>
      </c>
      <c r="J50" s="15">
        <v>1448</v>
      </c>
      <c r="K50" s="15" cm="1">
        <f t="array" ref="K50">ROUND(H50*I50,0)</f>
        <v>163</v>
      </c>
      <c r="L50" s="15" cm="1">
        <f t="array" ref="L50">K50*J50</f>
        <v>236024</v>
      </c>
      <c r="M50" s="15">
        <v>19250</v>
      </c>
      <c r="N50" s="15" cm="1">
        <f t="array" ref="N50">D50*M50</f>
        <v>385000</v>
      </c>
      <c r="O50" t="s" s="14">
        <v>40</v>
      </c>
    </row>
    <row r="51" ht="15" customHeight="1">
      <c r="A51" t="s" s="13">
        <v>97</v>
      </c>
      <c r="B51" t="s" s="14">
        <v>85</v>
      </c>
      <c r="C51" s="15">
        <v>243</v>
      </c>
      <c r="D51" s="15">
        <v>2</v>
      </c>
      <c r="E51" s="15">
        <v>57</v>
      </c>
      <c r="F51" s="16" cm="1">
        <f t="array" ref="F51">ROUND(D51/E51,1)</f>
        <v>0</v>
      </c>
      <c r="G51" t="s" s="13">
        <v>20</v>
      </c>
      <c r="H51" s="15">
        <v>291</v>
      </c>
      <c r="I51" s="17">
        <v>0.61</v>
      </c>
      <c r="J51" s="15">
        <v>1375</v>
      </c>
      <c r="K51" s="15" cm="1">
        <f t="array" ref="K51">ROUND(H51*I51,0)</f>
        <v>178</v>
      </c>
      <c r="L51" s="15" cm="1">
        <f t="array" ref="L51">K51*J51</f>
        <v>244750</v>
      </c>
      <c r="M51" s="15">
        <v>19250</v>
      </c>
      <c r="N51" s="15" cm="1">
        <f t="array" ref="N51">D51*M51</f>
        <v>38500</v>
      </c>
      <c r="O51" t="s" s="14">
        <v>40</v>
      </c>
    </row>
    <row r="52" ht="15" customHeight="1">
      <c r="A52" t="s" s="13">
        <v>98</v>
      </c>
      <c r="B52" t="s" s="14">
        <v>85</v>
      </c>
      <c r="C52" s="15">
        <v>235</v>
      </c>
      <c r="D52" s="15">
        <v>130</v>
      </c>
      <c r="E52" s="15">
        <v>57</v>
      </c>
      <c r="F52" s="16" cm="1">
        <f t="array" ref="F52">ROUND(D52/E52,1)</f>
        <v>2.3</v>
      </c>
      <c r="G52" t="s" s="13">
        <v>66</v>
      </c>
      <c r="H52" s="15">
        <v>282</v>
      </c>
      <c r="I52" s="17">
        <v>0.67</v>
      </c>
      <c r="J52" s="15">
        <v>1474</v>
      </c>
      <c r="K52" s="15" cm="1">
        <f t="array" ref="K52">ROUND(H52*I52,0)</f>
        <v>189</v>
      </c>
      <c r="L52" s="15" cm="1">
        <f t="array" ref="L52">K52*J52</f>
        <v>278586</v>
      </c>
      <c r="M52" s="15">
        <v>19688</v>
      </c>
      <c r="N52" s="15" cm="1">
        <f t="array" ref="N52">D52*M52</f>
        <v>2559440</v>
      </c>
      <c r="O52" t="s" s="14">
        <v>40</v>
      </c>
    </row>
    <row r="53" ht="15" customHeight="1">
      <c r="A53" t="s" s="3">
        <v>99</v>
      </c>
      <c r="B53" t="s" s="4">
        <v>100</v>
      </c>
      <c r="C53" s="5">
        <v>184</v>
      </c>
      <c r="D53" s="5">
        <v>0</v>
      </c>
      <c r="E53" s="5">
        <v>55</v>
      </c>
      <c r="F53" s="6">
        <v>0</v>
      </c>
      <c r="G53" t="s" s="3">
        <v>30</v>
      </c>
      <c r="H53" s="5">
        <v>184</v>
      </c>
      <c r="I53" s="7">
        <v>5.25</v>
      </c>
      <c r="J53" s="5">
        <v>1129</v>
      </c>
      <c r="K53" s="5" cm="1">
        <f t="array" ref="K53">ROUND(H53*I53,0)</f>
        <v>966</v>
      </c>
      <c r="L53" s="5" cm="1">
        <f t="array" ref="L53">K53*J53</f>
        <v>1090614</v>
      </c>
      <c r="M53" s="5">
        <v>28000</v>
      </c>
      <c r="N53" s="5" cm="1">
        <f t="array" ref="N53">D53*M53</f>
        <v>0</v>
      </c>
      <c r="O53" t="s" s="4">
        <v>18</v>
      </c>
    </row>
    <row r="54" ht="15" customHeight="1">
      <c r="A54" t="s" s="3">
        <v>101</v>
      </c>
      <c r="B54" t="s" s="4">
        <v>100</v>
      </c>
      <c r="C54" s="5">
        <v>201</v>
      </c>
      <c r="D54" s="5">
        <v>0</v>
      </c>
      <c r="E54" s="5">
        <v>55</v>
      </c>
      <c r="F54" s="6">
        <v>0</v>
      </c>
      <c r="G54" t="s" s="3">
        <v>102</v>
      </c>
      <c r="H54" s="5">
        <v>241</v>
      </c>
      <c r="I54" s="7">
        <v>5.18</v>
      </c>
      <c r="J54" s="5">
        <v>1117</v>
      </c>
      <c r="K54" s="5" cm="1">
        <f t="array" ref="K54">ROUND(H54*I54,0)</f>
        <v>1248</v>
      </c>
      <c r="L54" s="5" cm="1">
        <f t="array" ref="L54">K54*J54</f>
        <v>1394016</v>
      </c>
      <c r="M54" s="5">
        <v>28000</v>
      </c>
      <c r="N54" s="5" cm="1">
        <f t="array" ref="N54">D54*M54</f>
        <v>0</v>
      </c>
      <c r="O54" t="s" s="4">
        <v>18</v>
      </c>
    </row>
    <row r="55" ht="15" customHeight="1">
      <c r="A55" t="s" s="3">
        <v>103</v>
      </c>
      <c r="B55" t="s" s="4">
        <v>100</v>
      </c>
      <c r="C55" s="5">
        <v>212</v>
      </c>
      <c r="D55" s="5">
        <v>0</v>
      </c>
      <c r="E55" s="5">
        <v>55</v>
      </c>
      <c r="F55" s="6">
        <v>0</v>
      </c>
      <c r="G55" t="s" s="3">
        <v>30</v>
      </c>
      <c r="H55" s="5">
        <v>254</v>
      </c>
      <c r="I55" s="7">
        <v>5.47</v>
      </c>
      <c r="J55" s="5">
        <v>1186</v>
      </c>
      <c r="K55" s="5" cm="1">
        <f t="array" ref="K55">ROUND(H55*I55,0)</f>
        <v>1389</v>
      </c>
      <c r="L55" s="5" cm="1">
        <f t="array" ref="L55">K55*J55</f>
        <v>1647354</v>
      </c>
      <c r="M55" s="5">
        <v>28000</v>
      </c>
      <c r="N55" s="5" cm="1">
        <f t="array" ref="N55">D55*M55</f>
        <v>0</v>
      </c>
      <c r="O55" t="s" s="4">
        <v>18</v>
      </c>
    </row>
    <row r="56" ht="15" customHeight="1">
      <c r="A56" t="s" s="3">
        <v>104</v>
      </c>
      <c r="B56" t="s" s="4">
        <v>100</v>
      </c>
      <c r="C56" s="5">
        <v>237</v>
      </c>
      <c r="D56" s="5">
        <v>0</v>
      </c>
      <c r="E56" s="5">
        <v>55</v>
      </c>
      <c r="F56" s="6">
        <v>0</v>
      </c>
      <c r="G56" t="s" s="3">
        <v>105</v>
      </c>
      <c r="H56" s="5">
        <v>189</v>
      </c>
      <c r="I56" s="7">
        <v>5.42</v>
      </c>
      <c r="J56" s="5">
        <v>1225</v>
      </c>
      <c r="K56" s="5" cm="1">
        <f t="array" ref="K56">ROUND(H56*I56,0)</f>
        <v>1024</v>
      </c>
      <c r="L56" s="5" cm="1">
        <f t="array" ref="L56">K56*J56</f>
        <v>1254400</v>
      </c>
      <c r="M56" s="5">
        <v>28700</v>
      </c>
      <c r="N56" s="5" cm="1">
        <f t="array" ref="N56">D56*M56</f>
        <v>0</v>
      </c>
      <c r="O56" t="s" s="4">
        <v>18</v>
      </c>
    </row>
    <row r="57" ht="15" customHeight="1">
      <c r="A57" t="s" s="3">
        <v>106</v>
      </c>
      <c r="B57" t="s" s="4">
        <v>100</v>
      </c>
      <c r="C57" s="5">
        <v>208</v>
      </c>
      <c r="D57" s="5">
        <v>0</v>
      </c>
      <c r="E57" s="5">
        <v>55</v>
      </c>
      <c r="F57" s="6">
        <v>0</v>
      </c>
      <c r="G57" t="s" s="3">
        <v>39</v>
      </c>
      <c r="H57" s="5">
        <v>208</v>
      </c>
      <c r="I57" s="7">
        <v>5.44</v>
      </c>
      <c r="J57" s="5">
        <v>1307</v>
      </c>
      <c r="K57" s="5" cm="1">
        <f t="array" ref="K57">ROUND(H57*I57,0)</f>
        <v>1132</v>
      </c>
      <c r="L57" s="5" cm="1">
        <f t="array" ref="L57">K57*J57</f>
        <v>1479524</v>
      </c>
      <c r="M57" s="5">
        <v>28700</v>
      </c>
      <c r="N57" s="5" cm="1">
        <f t="array" ref="N57">D57*M57</f>
        <v>0</v>
      </c>
      <c r="O57" t="s" s="4">
        <v>18</v>
      </c>
    </row>
    <row r="58" ht="15" customHeight="1">
      <c r="A58" t="s" s="8">
        <v>107</v>
      </c>
      <c r="B58" t="s" s="9">
        <v>100</v>
      </c>
      <c r="C58" s="10">
        <v>320</v>
      </c>
      <c r="D58" s="10">
        <v>0</v>
      </c>
      <c r="E58" s="10">
        <v>0</v>
      </c>
      <c r="F58" s="11">
        <v>0</v>
      </c>
      <c r="G58" t="s" s="8">
        <v>34</v>
      </c>
      <c r="H58" s="10">
        <v>0</v>
      </c>
      <c r="I58" s="12">
        <v>5.45</v>
      </c>
      <c r="J58" s="10">
        <v>1242</v>
      </c>
      <c r="K58" s="10">
        <v>1744</v>
      </c>
      <c r="L58" s="10" cm="1">
        <f t="array" ref="L58">K58*J58</f>
        <v>2166048</v>
      </c>
      <c r="M58" s="10">
        <v>0</v>
      </c>
      <c r="N58" s="10" cm="1">
        <f t="array" ref="N58">D58*M58</f>
        <v>0</v>
      </c>
      <c r="O58" t="s" s="9">
        <v>108</v>
      </c>
    </row>
    <row r="59" ht="15" customHeight="1">
      <c r="A59" t="s" s="3">
        <v>109</v>
      </c>
      <c r="B59" t="s" s="4">
        <v>100</v>
      </c>
      <c r="C59" s="5">
        <v>208</v>
      </c>
      <c r="D59" s="5">
        <v>0</v>
      </c>
      <c r="E59" s="5">
        <v>55</v>
      </c>
      <c r="F59" s="6">
        <v>0</v>
      </c>
      <c r="G59" t="s" s="3">
        <v>81</v>
      </c>
      <c r="H59" s="5">
        <v>249</v>
      </c>
      <c r="I59" s="7">
        <v>5.38</v>
      </c>
      <c r="J59" s="5">
        <v>1274</v>
      </c>
      <c r="K59" s="5" cm="1">
        <f t="array" ref="K59">ROUND(H59*I59,0)</f>
        <v>1340</v>
      </c>
      <c r="L59" s="5" cm="1">
        <f t="array" ref="L59">K59*J59</f>
        <v>1707160</v>
      </c>
      <c r="M59" s="5">
        <v>29400</v>
      </c>
      <c r="N59" s="5" cm="1">
        <f t="array" ref="N59">D59*M59</f>
        <v>0</v>
      </c>
      <c r="O59" t="s" s="4">
        <v>18</v>
      </c>
    </row>
    <row r="60" ht="15" customHeight="1">
      <c r="A60" t="s" s="3">
        <v>110</v>
      </c>
      <c r="B60" t="s" s="4">
        <v>100</v>
      </c>
      <c r="C60" s="5">
        <v>224</v>
      </c>
      <c r="D60" s="5">
        <v>0</v>
      </c>
      <c r="E60" s="5">
        <v>55</v>
      </c>
      <c r="F60" s="6">
        <v>0</v>
      </c>
      <c r="G60" t="s" s="3">
        <v>45</v>
      </c>
      <c r="H60" s="5">
        <v>268</v>
      </c>
      <c r="I60" s="7">
        <v>5.81</v>
      </c>
      <c r="J60" s="5">
        <v>1298</v>
      </c>
      <c r="K60" s="5" cm="1">
        <f t="array" ref="K60">ROUND(H60*I60,0)</f>
        <v>1557</v>
      </c>
      <c r="L60" s="5" cm="1">
        <f t="array" ref="L60">K60*J60</f>
        <v>2020986</v>
      </c>
      <c r="M60" s="5">
        <v>29400</v>
      </c>
      <c r="N60" s="5" cm="1">
        <f t="array" ref="N60">D60*M60</f>
        <v>0</v>
      </c>
      <c r="O60" t="s" s="4">
        <v>18</v>
      </c>
    </row>
    <row r="61" ht="15" customHeight="1">
      <c r="A61" t="s" s="3">
        <v>111</v>
      </c>
      <c r="B61" t="s" s="4">
        <v>100</v>
      </c>
      <c r="C61" s="5">
        <v>171</v>
      </c>
      <c r="D61" s="5">
        <v>0</v>
      </c>
      <c r="E61" s="5">
        <v>55</v>
      </c>
      <c r="F61" s="6">
        <v>0</v>
      </c>
      <c r="G61" t="s" s="3">
        <v>81</v>
      </c>
      <c r="H61" s="5">
        <v>205</v>
      </c>
      <c r="I61" s="7">
        <v>5.6</v>
      </c>
      <c r="J61" s="5">
        <v>1334</v>
      </c>
      <c r="K61" s="5" cm="1">
        <f t="array" ref="K61">ROUND(H61*I61,0)</f>
        <v>1148</v>
      </c>
      <c r="L61" s="5" cm="1">
        <f t="array" ref="L61">K61*J61</f>
        <v>1531432</v>
      </c>
      <c r="M61" s="5">
        <v>29400</v>
      </c>
      <c r="N61" s="5" cm="1">
        <f t="array" ref="N61">D61*M61</f>
        <v>0</v>
      </c>
      <c r="O61" t="s" s="4">
        <v>18</v>
      </c>
    </row>
    <row r="62" ht="15" customHeight="1">
      <c r="A62" t="s" s="3">
        <v>112</v>
      </c>
      <c r="B62" t="s" s="4">
        <v>100</v>
      </c>
      <c r="C62" s="5">
        <v>175</v>
      </c>
      <c r="D62" s="5">
        <v>0</v>
      </c>
      <c r="E62" s="5">
        <v>55</v>
      </c>
      <c r="F62" s="6">
        <v>0</v>
      </c>
      <c r="G62" t="s" s="3">
        <v>39</v>
      </c>
      <c r="H62" s="5">
        <v>140</v>
      </c>
      <c r="I62" s="7">
        <v>5.21</v>
      </c>
      <c r="J62" s="5">
        <v>1363</v>
      </c>
      <c r="K62" s="5" cm="1">
        <f t="array" ref="K62">ROUND(H62*I62,0)</f>
        <v>729</v>
      </c>
      <c r="L62" s="5" cm="1">
        <f t="array" ref="L62">K62*J62</f>
        <v>993627</v>
      </c>
      <c r="M62" s="5">
        <v>30100</v>
      </c>
      <c r="N62" s="5" cm="1">
        <f t="array" ref="N62">D62*M62</f>
        <v>0</v>
      </c>
      <c r="O62" t="s" s="4">
        <v>18</v>
      </c>
    </row>
    <row r="63" ht="15" customHeight="1">
      <c r="A63" t="s" s="3">
        <v>113</v>
      </c>
      <c r="B63" t="s" s="4">
        <v>100</v>
      </c>
      <c r="C63" s="5">
        <v>187</v>
      </c>
      <c r="D63" s="5">
        <v>0</v>
      </c>
      <c r="E63" s="5">
        <v>55</v>
      </c>
      <c r="F63" s="6">
        <v>0</v>
      </c>
      <c r="G63" t="s" s="3">
        <v>32</v>
      </c>
      <c r="H63" s="5">
        <v>224</v>
      </c>
      <c r="I63" s="7">
        <v>6.19</v>
      </c>
      <c r="J63" s="5">
        <v>1386</v>
      </c>
      <c r="K63" s="5" cm="1">
        <f t="array" ref="K63">ROUND(H63*I63,0)</f>
        <v>1387</v>
      </c>
      <c r="L63" s="5" cm="1">
        <f t="array" ref="L63">K63*J63</f>
        <v>1922382</v>
      </c>
      <c r="M63" s="5">
        <v>30100</v>
      </c>
      <c r="N63" s="5" cm="1">
        <f t="array" ref="N63">D63*M63</f>
        <v>0</v>
      </c>
      <c r="O63" t="s" s="4">
        <v>18</v>
      </c>
    </row>
    <row r="64" ht="15" customHeight="1">
      <c r="A64" t="s" s="3">
        <v>114</v>
      </c>
      <c r="B64" t="s" s="4">
        <v>100</v>
      </c>
      <c r="C64" s="5">
        <v>196</v>
      </c>
      <c r="D64" s="5">
        <v>0</v>
      </c>
      <c r="E64" s="5">
        <v>55</v>
      </c>
      <c r="F64" s="6">
        <v>0</v>
      </c>
      <c r="G64" t="s" s="3">
        <v>30</v>
      </c>
      <c r="H64" s="5">
        <v>235</v>
      </c>
      <c r="I64" s="7">
        <v>5.96</v>
      </c>
      <c r="J64" s="5">
        <v>1465</v>
      </c>
      <c r="K64" s="5" cm="1">
        <f t="array" ref="K64">ROUND(H64*I64,0)</f>
        <v>1401</v>
      </c>
      <c r="L64" s="5" cm="1">
        <f t="array" ref="L64">K64*J64</f>
        <v>2052465</v>
      </c>
      <c r="M64" s="5">
        <v>30100</v>
      </c>
      <c r="N64" s="5" cm="1">
        <f t="array" ref="N64">D64*M64</f>
        <v>0</v>
      </c>
      <c r="O64" t="s" s="4">
        <v>18</v>
      </c>
    </row>
    <row r="65" ht="15" customHeight="1">
      <c r="A65" t="s" s="13">
        <v>115</v>
      </c>
      <c r="B65" t="s" s="14">
        <v>100</v>
      </c>
      <c r="C65" s="15">
        <v>230</v>
      </c>
      <c r="D65" s="15">
        <v>5</v>
      </c>
      <c r="E65" s="15">
        <v>55</v>
      </c>
      <c r="F65" s="16" cm="1">
        <f t="array" ref="F65">ROUND(D65/E65,1)</f>
        <v>0.1</v>
      </c>
      <c r="G65" t="s" s="13">
        <v>37</v>
      </c>
      <c r="H65" s="15">
        <v>276</v>
      </c>
      <c r="I65" s="17">
        <v>5.91</v>
      </c>
      <c r="J65" s="15">
        <v>1370</v>
      </c>
      <c r="K65" s="15" cm="1">
        <f t="array" ref="K65">ROUND(H65*I65,0)</f>
        <v>1631</v>
      </c>
      <c r="L65" s="15" cm="1">
        <f t="array" ref="L65">K65*J65</f>
        <v>2234470</v>
      </c>
      <c r="M65" s="15">
        <v>30800</v>
      </c>
      <c r="N65" s="15" cm="1">
        <f t="array" ref="N65">D65*M65</f>
        <v>154000</v>
      </c>
      <c r="O65" t="s" s="14">
        <v>40</v>
      </c>
    </row>
    <row r="66" ht="15" customHeight="1">
      <c r="A66" t="s" s="13">
        <v>116</v>
      </c>
      <c r="B66" t="s" s="14">
        <v>100</v>
      </c>
      <c r="C66" s="15">
        <v>206</v>
      </c>
      <c r="D66" s="15">
        <v>6</v>
      </c>
      <c r="E66" s="15">
        <v>55</v>
      </c>
      <c r="F66" s="16" cm="1">
        <f t="array" ref="F66">ROUND(D66/E66,1)</f>
        <v>0.1</v>
      </c>
      <c r="G66" t="s" s="13">
        <v>61</v>
      </c>
      <c r="H66" s="15">
        <v>206</v>
      </c>
      <c r="I66" s="17">
        <v>5.68</v>
      </c>
      <c r="J66" s="15">
        <v>1371</v>
      </c>
      <c r="K66" s="15" cm="1">
        <f t="array" ref="K66">ROUND(H66*I66,0)</f>
        <v>1170</v>
      </c>
      <c r="L66" s="15" cm="1">
        <f t="array" ref="L66">K66*J66</f>
        <v>1604070</v>
      </c>
      <c r="M66" s="15">
        <v>30800</v>
      </c>
      <c r="N66" s="15" cm="1">
        <f t="array" ref="N66">D66*M66</f>
        <v>184800</v>
      </c>
      <c r="O66" t="s" s="14">
        <v>40</v>
      </c>
    </row>
    <row r="67" ht="15" customHeight="1">
      <c r="A67" t="s" s="13">
        <v>117</v>
      </c>
      <c r="B67" t="s" s="14">
        <v>100</v>
      </c>
      <c r="C67" s="15">
        <v>157</v>
      </c>
      <c r="D67" s="15">
        <v>68</v>
      </c>
      <c r="E67" s="15">
        <v>55</v>
      </c>
      <c r="F67" s="16" cm="1">
        <f t="array" ref="F67">ROUND(D67/E67,1)</f>
        <v>1.2</v>
      </c>
      <c r="G67" t="s" s="13">
        <v>24</v>
      </c>
      <c r="H67" s="15">
        <v>125</v>
      </c>
      <c r="I67" s="17">
        <v>6.58</v>
      </c>
      <c r="J67" s="15">
        <v>1462</v>
      </c>
      <c r="K67" s="15" cm="1">
        <f t="array" ref="K67">ROUND(H67*I67,0)</f>
        <v>823</v>
      </c>
      <c r="L67" s="15" cm="1">
        <f t="array" ref="L67">K67*J67</f>
        <v>1203226</v>
      </c>
      <c r="M67" s="15">
        <v>30800</v>
      </c>
      <c r="N67" s="15" cm="1">
        <f t="array" ref="N67">D67*M67</f>
        <v>2094400</v>
      </c>
      <c r="O67" t="s" s="14">
        <v>40</v>
      </c>
    </row>
    <row r="68" ht="15" customHeight="1">
      <c r="A68" t="s" s="3">
        <v>118</v>
      </c>
      <c r="B68" t="s" s="4">
        <v>119</v>
      </c>
      <c r="C68" s="5">
        <v>172</v>
      </c>
      <c r="D68" s="5">
        <v>0</v>
      </c>
      <c r="E68" s="5">
        <v>34</v>
      </c>
      <c r="F68" s="6">
        <v>0</v>
      </c>
      <c r="G68" t="s" s="3">
        <v>20</v>
      </c>
      <c r="H68" s="5">
        <v>137</v>
      </c>
      <c r="I68" s="7">
        <v>1.32</v>
      </c>
      <c r="J68" s="5">
        <v>1176</v>
      </c>
      <c r="K68" s="5" cm="1">
        <f t="array" ref="K68">ROUND(H68*I68,0)</f>
        <v>181</v>
      </c>
      <c r="L68" s="5" cm="1">
        <f t="array" ref="L68">K68*J68</f>
        <v>212856</v>
      </c>
      <c r="M68" s="5">
        <v>17000</v>
      </c>
      <c r="N68" s="5" cm="1">
        <f t="array" ref="N68">D68*M68</f>
        <v>0</v>
      </c>
      <c r="O68" t="s" s="4">
        <v>18</v>
      </c>
    </row>
    <row r="69" ht="15" customHeight="1">
      <c r="A69" t="s" s="3">
        <v>120</v>
      </c>
      <c r="B69" t="s" s="4">
        <v>119</v>
      </c>
      <c r="C69" s="5">
        <v>179</v>
      </c>
      <c r="D69" s="5">
        <v>0</v>
      </c>
      <c r="E69" s="5">
        <v>34</v>
      </c>
      <c r="F69" s="6">
        <v>0</v>
      </c>
      <c r="G69" t="s" s="3">
        <v>57</v>
      </c>
      <c r="H69" s="5">
        <v>214</v>
      </c>
      <c r="I69" s="7">
        <v>1.26</v>
      </c>
      <c r="J69" s="5">
        <v>1186</v>
      </c>
      <c r="K69" s="5" cm="1">
        <f t="array" ref="K69">ROUND(H69*I69,0)</f>
        <v>270</v>
      </c>
      <c r="L69" s="5" cm="1">
        <f t="array" ref="L69">K69*J69</f>
        <v>320220</v>
      </c>
      <c r="M69" s="5">
        <v>17000</v>
      </c>
      <c r="N69" s="5" cm="1">
        <f t="array" ref="N69">D69*M69</f>
        <v>0</v>
      </c>
      <c r="O69" t="s" s="4">
        <v>18</v>
      </c>
    </row>
    <row r="70" ht="15" customHeight="1">
      <c r="A70" t="s" s="3">
        <v>121</v>
      </c>
      <c r="B70" t="s" s="4">
        <v>119</v>
      </c>
      <c r="C70" s="5">
        <v>121</v>
      </c>
      <c r="D70" s="5">
        <v>0</v>
      </c>
      <c r="E70" s="5">
        <v>34</v>
      </c>
      <c r="F70" s="6">
        <v>0</v>
      </c>
      <c r="G70" t="s" s="3">
        <v>28</v>
      </c>
      <c r="H70" s="5">
        <v>96</v>
      </c>
      <c r="I70" s="7">
        <v>1.32</v>
      </c>
      <c r="J70" s="5">
        <v>1254</v>
      </c>
      <c r="K70" s="5" cm="1">
        <f t="array" ref="K70">ROUND(H70*I70,0)</f>
        <v>127</v>
      </c>
      <c r="L70" s="5" cm="1">
        <f t="array" ref="L70">K70*J70</f>
        <v>159258</v>
      </c>
      <c r="M70" s="5">
        <v>17425</v>
      </c>
      <c r="N70" s="5" cm="1">
        <f t="array" ref="N70">D70*M70</f>
        <v>0</v>
      </c>
      <c r="O70" t="s" s="4">
        <v>18</v>
      </c>
    </row>
    <row r="71" ht="15" customHeight="1">
      <c r="A71" t="s" s="3">
        <v>122</v>
      </c>
      <c r="B71" t="s" s="4">
        <v>119</v>
      </c>
      <c r="C71" s="5">
        <v>116</v>
      </c>
      <c r="D71" s="5">
        <v>0</v>
      </c>
      <c r="E71" s="5">
        <v>34</v>
      </c>
      <c r="F71" s="6">
        <v>0</v>
      </c>
      <c r="G71" t="s" s="3">
        <v>66</v>
      </c>
      <c r="H71" s="5">
        <v>116</v>
      </c>
      <c r="I71" s="7">
        <v>1.33</v>
      </c>
      <c r="J71" s="5">
        <v>1291</v>
      </c>
      <c r="K71" s="5" cm="1">
        <f t="array" ref="K71">ROUND(H71*I71,0)</f>
        <v>154</v>
      </c>
      <c r="L71" s="5" cm="1">
        <f t="array" ref="L71">K71*J71</f>
        <v>198814</v>
      </c>
      <c r="M71" s="5">
        <v>17425</v>
      </c>
      <c r="N71" s="5" cm="1">
        <f t="array" ref="N71">D71*M71</f>
        <v>0</v>
      </c>
      <c r="O71" t="s" s="4">
        <v>18</v>
      </c>
    </row>
    <row r="72" ht="15" customHeight="1">
      <c r="A72" t="s" s="3">
        <v>123</v>
      </c>
      <c r="B72" t="s" s="4">
        <v>119</v>
      </c>
      <c r="C72" s="5">
        <v>91</v>
      </c>
      <c r="D72" s="5">
        <v>0</v>
      </c>
      <c r="E72" s="5">
        <v>34</v>
      </c>
      <c r="F72" s="6">
        <v>0</v>
      </c>
      <c r="G72" t="s" s="3">
        <v>102</v>
      </c>
      <c r="H72" s="5">
        <v>72</v>
      </c>
      <c r="I72" s="7">
        <v>1.3</v>
      </c>
      <c r="J72" s="5">
        <v>1327</v>
      </c>
      <c r="K72" s="5" cm="1">
        <f t="array" ref="K72">ROUND(H72*I72,0)</f>
        <v>94</v>
      </c>
      <c r="L72" s="5" cm="1">
        <f t="array" ref="L72">K72*J72</f>
        <v>124738</v>
      </c>
      <c r="M72" s="5">
        <v>17425</v>
      </c>
      <c r="N72" s="5" cm="1">
        <f t="array" ref="N72">D72*M72</f>
        <v>0</v>
      </c>
      <c r="O72" t="s" s="4">
        <v>18</v>
      </c>
    </row>
    <row r="73" ht="15" customHeight="1">
      <c r="A73" t="s" s="3">
        <v>124</v>
      </c>
      <c r="B73" t="s" s="4">
        <v>119</v>
      </c>
      <c r="C73" s="5">
        <v>179</v>
      </c>
      <c r="D73" s="5">
        <v>0</v>
      </c>
      <c r="E73" s="5">
        <v>34</v>
      </c>
      <c r="F73" s="6">
        <v>0</v>
      </c>
      <c r="G73" t="s" s="3">
        <v>51</v>
      </c>
      <c r="H73" s="5">
        <v>143</v>
      </c>
      <c r="I73" s="7">
        <v>1.39</v>
      </c>
      <c r="J73" s="5">
        <v>1341</v>
      </c>
      <c r="K73" s="5" cm="1">
        <f t="array" ref="K73">ROUND(H73*I73,0)</f>
        <v>199</v>
      </c>
      <c r="L73" s="5" cm="1">
        <f t="array" ref="L73">K73*J73</f>
        <v>266859</v>
      </c>
      <c r="M73" s="5">
        <v>17850</v>
      </c>
      <c r="N73" s="5" cm="1">
        <f t="array" ref="N73">D73*M73</f>
        <v>0</v>
      </c>
      <c r="O73" t="s" s="4">
        <v>18</v>
      </c>
    </row>
    <row r="74" ht="15" customHeight="1">
      <c r="A74" t="s" s="3">
        <v>125</v>
      </c>
      <c r="B74" t="s" s="4">
        <v>119</v>
      </c>
      <c r="C74" s="5">
        <v>91</v>
      </c>
      <c r="D74" s="5">
        <v>0</v>
      </c>
      <c r="E74" s="5">
        <v>34</v>
      </c>
      <c r="F74" s="6">
        <v>0</v>
      </c>
      <c r="G74" t="s" s="3">
        <v>68</v>
      </c>
      <c r="H74" s="5">
        <v>109</v>
      </c>
      <c r="I74" s="7">
        <v>1.39</v>
      </c>
      <c r="J74" s="5">
        <v>1293</v>
      </c>
      <c r="K74" s="5" cm="1">
        <f t="array" ref="K74">ROUND(H74*I74,0)</f>
        <v>152</v>
      </c>
      <c r="L74" s="5" cm="1">
        <f t="array" ref="L74">K74*J74</f>
        <v>196536</v>
      </c>
      <c r="M74" s="5">
        <v>17850</v>
      </c>
      <c r="N74" s="5" cm="1">
        <f t="array" ref="N74">D74*M74</f>
        <v>0</v>
      </c>
      <c r="O74" t="s" s="4">
        <v>18</v>
      </c>
    </row>
    <row r="75" ht="15" customHeight="1">
      <c r="A75" t="s" s="3">
        <v>126</v>
      </c>
      <c r="B75" t="s" s="4">
        <v>119</v>
      </c>
      <c r="C75" s="5">
        <v>161</v>
      </c>
      <c r="D75" s="5">
        <v>0</v>
      </c>
      <c r="E75" s="5">
        <v>34</v>
      </c>
      <c r="F75" s="6">
        <v>0</v>
      </c>
      <c r="G75" t="s" s="3">
        <v>20</v>
      </c>
      <c r="H75" s="5">
        <v>161</v>
      </c>
      <c r="I75" s="7">
        <v>1.36</v>
      </c>
      <c r="J75" s="5">
        <v>1318</v>
      </c>
      <c r="K75" s="5" cm="1">
        <f t="array" ref="K75">ROUND(H75*I75,0)</f>
        <v>219</v>
      </c>
      <c r="L75" s="5" cm="1">
        <f t="array" ref="L75">K75*J75</f>
        <v>288642</v>
      </c>
      <c r="M75" s="5">
        <v>18275</v>
      </c>
      <c r="N75" s="5" cm="1">
        <f t="array" ref="N75">D75*M75</f>
        <v>0</v>
      </c>
      <c r="O75" t="s" s="4">
        <v>18</v>
      </c>
    </row>
    <row r="76" ht="15" customHeight="1">
      <c r="A76" t="s" s="13">
        <v>127</v>
      </c>
      <c r="B76" t="s" s="14">
        <v>119</v>
      </c>
      <c r="C76" s="15">
        <v>169</v>
      </c>
      <c r="D76" s="15">
        <v>19</v>
      </c>
      <c r="E76" s="15">
        <v>34</v>
      </c>
      <c r="F76" s="16" cm="1">
        <f t="array" ref="F76">ROUND(D76/E76,1)</f>
        <v>0.6</v>
      </c>
      <c r="G76" t="s" s="13">
        <v>68</v>
      </c>
      <c r="H76" s="15">
        <v>169</v>
      </c>
      <c r="I76" s="17">
        <v>1.24</v>
      </c>
      <c r="J76" s="15">
        <v>1383</v>
      </c>
      <c r="K76" s="15" cm="1">
        <f t="array" ref="K76">ROUND(H76*I76,0)</f>
        <v>210</v>
      </c>
      <c r="L76" s="15" cm="1">
        <f t="array" ref="L76">K76*J76</f>
        <v>290430</v>
      </c>
      <c r="M76" s="15">
        <v>18275</v>
      </c>
      <c r="N76" s="15" cm="1">
        <f t="array" ref="N76">D76*M76</f>
        <v>347225</v>
      </c>
      <c r="O76" t="s" s="14">
        <v>40</v>
      </c>
    </row>
    <row r="77" ht="15" customHeight="1">
      <c r="A77" t="s" s="13">
        <v>128</v>
      </c>
      <c r="B77" t="s" s="14">
        <v>119</v>
      </c>
      <c r="C77" s="15">
        <v>130</v>
      </c>
      <c r="D77" s="15">
        <v>8</v>
      </c>
      <c r="E77" s="15">
        <v>34</v>
      </c>
      <c r="F77" s="16" cm="1">
        <f t="array" ref="F77">ROUND(D77/E77,1)</f>
        <v>0.2</v>
      </c>
      <c r="G77" t="s" s="13">
        <v>47</v>
      </c>
      <c r="H77" s="15">
        <v>104</v>
      </c>
      <c r="I77" s="17">
        <v>1.54</v>
      </c>
      <c r="J77" s="15">
        <v>1386</v>
      </c>
      <c r="K77" s="15" cm="1">
        <f t="array" ref="K77">ROUND(H77*I77,0)</f>
        <v>160</v>
      </c>
      <c r="L77" s="15" cm="1">
        <f t="array" ref="L77">K77*J77</f>
        <v>221760</v>
      </c>
      <c r="M77" s="15">
        <v>18700</v>
      </c>
      <c r="N77" s="15" cm="1">
        <f t="array" ref="N77">D77*M77</f>
        <v>149600</v>
      </c>
      <c r="O77" t="s" s="14">
        <v>40</v>
      </c>
    </row>
    <row r="78" ht="15" customHeight="1">
      <c r="A78" t="s" s="13">
        <v>129</v>
      </c>
      <c r="B78" t="s" s="14">
        <v>119</v>
      </c>
      <c r="C78" s="15">
        <v>151</v>
      </c>
      <c r="D78" s="15">
        <v>68</v>
      </c>
      <c r="E78" s="15">
        <v>34</v>
      </c>
      <c r="F78" s="16" cm="1">
        <f t="array" ref="F78">ROUND(D78/E78,1)</f>
        <v>2</v>
      </c>
      <c r="G78" t="s" s="13">
        <v>130</v>
      </c>
      <c r="H78" s="15">
        <v>151</v>
      </c>
      <c r="I78" s="17">
        <v>1.56</v>
      </c>
      <c r="J78" s="15">
        <v>1427</v>
      </c>
      <c r="K78" s="15" cm="1">
        <f t="array" ref="K78">ROUND(H78*I78,0)</f>
        <v>236</v>
      </c>
      <c r="L78" s="15" cm="1">
        <f t="array" ref="L78">K78*J78</f>
        <v>336772</v>
      </c>
      <c r="M78" s="15">
        <v>18700</v>
      </c>
      <c r="N78" s="15" cm="1">
        <f t="array" ref="N78">D78*M78</f>
        <v>1271600</v>
      </c>
      <c r="O78" t="s" s="14">
        <v>40</v>
      </c>
    </row>
    <row r="79" ht="15" customHeight="1">
      <c r="A79" t="s" s="3">
        <v>131</v>
      </c>
      <c r="B79" t="s" s="4">
        <v>132</v>
      </c>
      <c r="C79" s="5">
        <v>132</v>
      </c>
      <c r="D79" s="5">
        <v>0</v>
      </c>
      <c r="E79" s="5">
        <v>46</v>
      </c>
      <c r="F79" s="6">
        <v>0</v>
      </c>
      <c r="G79" t="s" s="3">
        <v>79</v>
      </c>
      <c r="H79" s="5">
        <v>105</v>
      </c>
      <c r="I79" s="7">
        <v>1.49</v>
      </c>
      <c r="J79" s="5">
        <v>1092</v>
      </c>
      <c r="K79" s="5" cm="1">
        <f t="array" ref="K79">ROUND(H79*I79,0)</f>
        <v>156</v>
      </c>
      <c r="L79" s="5" cm="1">
        <f t="array" ref="L79">K79*J79</f>
        <v>170352</v>
      </c>
      <c r="M79" s="5">
        <v>42000</v>
      </c>
      <c r="N79" s="5" cm="1">
        <f t="array" ref="N79">D79*M79</f>
        <v>0</v>
      </c>
      <c r="O79" t="s" s="4">
        <v>18</v>
      </c>
    </row>
    <row r="80" ht="15" customHeight="1">
      <c r="A80" t="s" s="3">
        <v>133</v>
      </c>
      <c r="B80" t="s" s="4">
        <v>132</v>
      </c>
      <c r="C80" s="5">
        <v>152</v>
      </c>
      <c r="D80" s="5">
        <v>0</v>
      </c>
      <c r="E80" s="5">
        <v>46</v>
      </c>
      <c r="F80" s="6">
        <v>0</v>
      </c>
      <c r="G80" t="s" s="3">
        <v>26</v>
      </c>
      <c r="H80" s="5">
        <v>121</v>
      </c>
      <c r="I80" s="7">
        <v>1.54</v>
      </c>
      <c r="J80" s="5">
        <v>1121</v>
      </c>
      <c r="K80" s="5" cm="1">
        <f t="array" ref="K80">ROUND(H80*I80,0)</f>
        <v>186</v>
      </c>
      <c r="L80" s="5" cm="1">
        <f t="array" ref="L80">K80*J80</f>
        <v>208506</v>
      </c>
      <c r="M80" s="5">
        <v>42000</v>
      </c>
      <c r="N80" s="5" cm="1">
        <f t="array" ref="N80">D80*M80</f>
        <v>0</v>
      </c>
      <c r="O80" t="s" s="4">
        <v>18</v>
      </c>
    </row>
    <row r="81" ht="15" customHeight="1">
      <c r="A81" t="s" s="3">
        <v>134</v>
      </c>
      <c r="B81" t="s" s="4">
        <v>132</v>
      </c>
      <c r="C81" s="5">
        <v>179</v>
      </c>
      <c r="D81" s="5">
        <v>0</v>
      </c>
      <c r="E81" s="5">
        <v>46</v>
      </c>
      <c r="F81" s="6">
        <v>0</v>
      </c>
      <c r="G81" t="s" s="3">
        <v>57</v>
      </c>
      <c r="H81" s="5">
        <v>179</v>
      </c>
      <c r="I81" s="7">
        <v>1.61</v>
      </c>
      <c r="J81" s="5">
        <v>1154</v>
      </c>
      <c r="K81" s="5" cm="1">
        <f t="array" ref="K81">ROUND(H81*I81,0)</f>
        <v>288</v>
      </c>
      <c r="L81" s="5" cm="1">
        <f t="array" ref="L81">K81*J81</f>
        <v>332352</v>
      </c>
      <c r="M81" s="5">
        <v>42000</v>
      </c>
      <c r="N81" s="5" cm="1">
        <f t="array" ref="N81">D81*M81</f>
        <v>0</v>
      </c>
      <c r="O81" t="s" s="4">
        <v>18</v>
      </c>
    </row>
    <row r="82" ht="15" customHeight="1">
      <c r="A82" t="s" s="3">
        <v>135</v>
      </c>
      <c r="B82" t="s" s="4">
        <v>132</v>
      </c>
      <c r="C82" s="5">
        <v>171</v>
      </c>
      <c r="D82" s="5">
        <v>0</v>
      </c>
      <c r="E82" s="5">
        <v>46</v>
      </c>
      <c r="F82" s="6">
        <v>0</v>
      </c>
      <c r="G82" t="s" s="3">
        <v>105</v>
      </c>
      <c r="H82" s="5">
        <v>171</v>
      </c>
      <c r="I82" s="7">
        <v>1.72</v>
      </c>
      <c r="J82" s="5">
        <v>1220</v>
      </c>
      <c r="K82" s="5" cm="1">
        <f t="array" ref="K82">ROUND(H82*I82,0)</f>
        <v>294</v>
      </c>
      <c r="L82" s="5" cm="1">
        <f t="array" ref="L82">K82*J82</f>
        <v>358680</v>
      </c>
      <c r="M82" s="5">
        <v>43050</v>
      </c>
      <c r="N82" s="5" cm="1">
        <f t="array" ref="N82">D82*M82</f>
        <v>0</v>
      </c>
      <c r="O82" t="s" s="4">
        <v>18</v>
      </c>
    </row>
    <row r="83" ht="15" customHeight="1">
      <c r="A83" t="s" s="3">
        <v>136</v>
      </c>
      <c r="B83" t="s" s="4">
        <v>132</v>
      </c>
      <c r="C83" s="5">
        <v>130</v>
      </c>
      <c r="D83" s="5">
        <v>0</v>
      </c>
      <c r="E83" s="5">
        <v>46</v>
      </c>
      <c r="F83" s="6">
        <v>0</v>
      </c>
      <c r="G83" t="s" s="3">
        <v>39</v>
      </c>
      <c r="H83" s="5">
        <v>156</v>
      </c>
      <c r="I83" s="7">
        <v>1.55</v>
      </c>
      <c r="J83" s="5">
        <v>1260</v>
      </c>
      <c r="K83" s="5" cm="1">
        <f t="array" ref="K83">ROUND(H83*I83,0)</f>
        <v>242</v>
      </c>
      <c r="L83" s="5" cm="1">
        <f t="array" ref="L83">K83*J83</f>
        <v>304920</v>
      </c>
      <c r="M83" s="5">
        <v>43050</v>
      </c>
      <c r="N83" s="5" cm="1">
        <f t="array" ref="N83">D83*M83</f>
        <v>0</v>
      </c>
      <c r="O83" t="s" s="4">
        <v>18</v>
      </c>
    </row>
    <row r="84" ht="15" customHeight="1">
      <c r="A84" t="s" s="3">
        <v>137</v>
      </c>
      <c r="B84" t="s" s="4">
        <v>132</v>
      </c>
      <c r="C84" s="5">
        <v>128</v>
      </c>
      <c r="D84" s="5">
        <v>0</v>
      </c>
      <c r="E84" s="5">
        <v>46</v>
      </c>
      <c r="F84" s="6">
        <v>0</v>
      </c>
      <c r="G84" t="s" s="3">
        <v>95</v>
      </c>
      <c r="H84" s="5">
        <v>153</v>
      </c>
      <c r="I84" s="7">
        <v>1.58</v>
      </c>
      <c r="J84" s="5">
        <v>1276</v>
      </c>
      <c r="K84" s="5" cm="1">
        <f t="array" ref="K84">ROUND(H84*I84,0)</f>
        <v>242</v>
      </c>
      <c r="L84" s="5" cm="1">
        <f t="array" ref="L84">K84*J84</f>
        <v>308792</v>
      </c>
      <c r="M84" s="5">
        <v>44100</v>
      </c>
      <c r="N84" s="5" cm="1">
        <f t="array" ref="N84">D84*M84</f>
        <v>0</v>
      </c>
      <c r="O84" t="s" s="4">
        <v>18</v>
      </c>
    </row>
    <row r="85" ht="15" customHeight="1">
      <c r="A85" t="s" s="3">
        <v>138</v>
      </c>
      <c r="B85" t="s" s="4">
        <v>132</v>
      </c>
      <c r="C85" s="5">
        <v>178</v>
      </c>
      <c r="D85" s="5">
        <v>0</v>
      </c>
      <c r="E85" s="5">
        <v>46</v>
      </c>
      <c r="F85" s="6">
        <v>0</v>
      </c>
      <c r="G85" t="s" s="3">
        <v>95</v>
      </c>
      <c r="H85" s="5">
        <v>178</v>
      </c>
      <c r="I85" s="7">
        <v>1.64</v>
      </c>
      <c r="J85" s="5">
        <v>1321</v>
      </c>
      <c r="K85" s="5" cm="1">
        <f t="array" ref="K85">ROUND(H85*I85,0)</f>
        <v>292</v>
      </c>
      <c r="L85" s="5" cm="1">
        <f t="array" ref="L85">K85*J85</f>
        <v>385732</v>
      </c>
      <c r="M85" s="5">
        <v>44100</v>
      </c>
      <c r="N85" s="5" cm="1">
        <f t="array" ref="N85">D85*M85</f>
        <v>0</v>
      </c>
      <c r="O85" t="s" s="4">
        <v>18</v>
      </c>
    </row>
    <row r="86" ht="15" customHeight="1">
      <c r="A86" t="s" s="3">
        <v>139</v>
      </c>
      <c r="B86" t="s" s="4">
        <v>132</v>
      </c>
      <c r="C86" s="5">
        <v>130</v>
      </c>
      <c r="D86" s="5">
        <v>0</v>
      </c>
      <c r="E86" s="5">
        <v>46</v>
      </c>
      <c r="F86" s="6">
        <v>0</v>
      </c>
      <c r="G86" t="s" s="3">
        <v>79</v>
      </c>
      <c r="H86" s="5">
        <v>156</v>
      </c>
      <c r="I86" s="7">
        <v>1.59</v>
      </c>
      <c r="J86" s="5">
        <v>1346</v>
      </c>
      <c r="K86" s="5" cm="1">
        <f t="array" ref="K86">ROUND(H86*I86,0)</f>
        <v>248</v>
      </c>
      <c r="L86" s="5" cm="1">
        <f t="array" ref="L86">K86*J86</f>
        <v>333808</v>
      </c>
      <c r="M86" s="5">
        <v>44100</v>
      </c>
      <c r="N86" s="5" cm="1">
        <f t="array" ref="N86">D86*M86</f>
        <v>0</v>
      </c>
      <c r="O86" t="s" s="4">
        <v>18</v>
      </c>
    </row>
    <row r="87" ht="15" customHeight="1">
      <c r="A87" t="s" s="3">
        <v>140</v>
      </c>
      <c r="B87" t="s" s="4">
        <v>132</v>
      </c>
      <c r="C87" s="5">
        <v>189</v>
      </c>
      <c r="D87" s="5">
        <v>0</v>
      </c>
      <c r="E87" s="5">
        <v>46</v>
      </c>
      <c r="F87" s="6">
        <v>0</v>
      </c>
      <c r="G87" t="s" s="3">
        <v>68</v>
      </c>
      <c r="H87" s="5">
        <v>189</v>
      </c>
      <c r="I87" s="7">
        <v>1.55</v>
      </c>
      <c r="J87" s="5">
        <v>1375</v>
      </c>
      <c r="K87" s="5" cm="1">
        <f t="array" ref="K87">ROUND(H87*I87,0)</f>
        <v>293</v>
      </c>
      <c r="L87" s="5" cm="1">
        <f t="array" ref="L87">K87*J87</f>
        <v>402875</v>
      </c>
      <c r="M87" s="5">
        <v>45150</v>
      </c>
      <c r="N87" s="5" cm="1">
        <f t="array" ref="N87">D87*M87</f>
        <v>0</v>
      </c>
      <c r="O87" t="s" s="4">
        <v>18</v>
      </c>
    </row>
    <row r="88" ht="15" customHeight="1">
      <c r="A88" t="s" s="13">
        <v>141</v>
      </c>
      <c r="B88" t="s" s="14">
        <v>132</v>
      </c>
      <c r="C88" s="15">
        <v>194</v>
      </c>
      <c r="D88" s="15">
        <v>7</v>
      </c>
      <c r="E88" s="15">
        <v>46</v>
      </c>
      <c r="F88" s="16" cm="1">
        <f t="array" ref="F88">ROUND(D88/E88,1)</f>
        <v>0.2</v>
      </c>
      <c r="G88" t="s" s="13">
        <v>17</v>
      </c>
      <c r="H88" s="15">
        <v>155</v>
      </c>
      <c r="I88" s="17">
        <v>1.6</v>
      </c>
      <c r="J88" s="15">
        <v>1350</v>
      </c>
      <c r="K88" s="15" cm="1">
        <f t="array" ref="K88">ROUND(H88*I88,0)</f>
        <v>248</v>
      </c>
      <c r="L88" s="15" cm="1">
        <f t="array" ref="L88">K88*J88</f>
        <v>334800</v>
      </c>
      <c r="M88" s="15">
        <v>45150</v>
      </c>
      <c r="N88" s="15" cm="1">
        <f t="array" ref="N88">D88*M88</f>
        <v>316050</v>
      </c>
      <c r="O88" t="s" s="14">
        <v>40</v>
      </c>
    </row>
    <row r="89" ht="15" customHeight="1">
      <c r="A89" t="s" s="13">
        <v>142</v>
      </c>
      <c r="B89" t="s" s="14">
        <v>132</v>
      </c>
      <c r="C89" s="15">
        <v>134</v>
      </c>
      <c r="D89" s="15">
        <v>14</v>
      </c>
      <c r="E89" s="15">
        <v>46</v>
      </c>
      <c r="F89" s="16" cm="1">
        <f t="array" ref="F89">ROUND(D89/E89,1)</f>
        <v>0.3</v>
      </c>
      <c r="G89" t="s" s="13">
        <v>61</v>
      </c>
      <c r="H89" s="15">
        <v>134</v>
      </c>
      <c r="I89" s="17">
        <v>1.95</v>
      </c>
      <c r="J89" s="15">
        <v>1473</v>
      </c>
      <c r="K89" s="15" cm="1">
        <f t="array" ref="K89">ROUND(H89*I89,0)</f>
        <v>261</v>
      </c>
      <c r="L89" s="15" cm="1">
        <f t="array" ref="L89">K89*J89</f>
        <v>384453</v>
      </c>
      <c r="M89" s="15">
        <v>45150</v>
      </c>
      <c r="N89" s="15" cm="1">
        <f t="array" ref="N89">D89*M89</f>
        <v>632100</v>
      </c>
      <c r="O89" t="s" s="14">
        <v>40</v>
      </c>
    </row>
    <row r="90" ht="15" customHeight="1">
      <c r="A90" t="s" s="13">
        <v>143</v>
      </c>
      <c r="B90" t="s" s="14">
        <v>132</v>
      </c>
      <c r="C90" s="15">
        <v>193</v>
      </c>
      <c r="D90" s="15">
        <v>5</v>
      </c>
      <c r="E90" s="15">
        <v>46</v>
      </c>
      <c r="F90" s="16" cm="1">
        <f t="array" ref="F90">ROUND(D90/E90,1)</f>
        <v>0.1</v>
      </c>
      <c r="G90" t="s" s="13">
        <v>17</v>
      </c>
      <c r="H90" s="15">
        <v>193</v>
      </c>
      <c r="I90" s="17">
        <v>1.68</v>
      </c>
      <c r="J90" s="15">
        <v>1450</v>
      </c>
      <c r="K90" s="15" cm="1">
        <f t="array" ref="K90">ROUND(H90*I90,0)</f>
        <v>324</v>
      </c>
      <c r="L90" s="15" cm="1">
        <f t="array" ref="L90">K90*J90</f>
        <v>469800</v>
      </c>
      <c r="M90" s="15">
        <v>46200</v>
      </c>
      <c r="N90" s="15" cm="1">
        <f t="array" ref="N90">D90*M90</f>
        <v>231000</v>
      </c>
      <c r="O90" t="s" s="14">
        <v>40</v>
      </c>
    </row>
    <row r="91" ht="15" customHeight="1">
      <c r="A91" t="s" s="13">
        <v>144</v>
      </c>
      <c r="B91" t="s" s="14">
        <v>132</v>
      </c>
      <c r="C91" s="15">
        <v>172</v>
      </c>
      <c r="D91" s="15">
        <v>14</v>
      </c>
      <c r="E91" s="15">
        <v>46</v>
      </c>
      <c r="F91" s="16" cm="1">
        <f t="array" ref="F91">ROUND(D91/E91,1)</f>
        <v>0.3</v>
      </c>
      <c r="G91" t="s" s="13">
        <v>66</v>
      </c>
      <c r="H91" s="15">
        <v>206</v>
      </c>
      <c r="I91" s="17">
        <v>1.62</v>
      </c>
      <c r="J91" s="15">
        <v>1384</v>
      </c>
      <c r="K91" s="15" cm="1">
        <f t="array" ref="K91">ROUND(H91*I91,0)</f>
        <v>334</v>
      </c>
      <c r="L91" s="15" cm="1">
        <f t="array" ref="L91">K91*J91</f>
        <v>462256</v>
      </c>
      <c r="M91" s="15">
        <v>46200</v>
      </c>
      <c r="N91" s="15" cm="1">
        <f t="array" ref="N91">D91*M91</f>
        <v>646800</v>
      </c>
      <c r="O91" t="s" s="14">
        <v>40</v>
      </c>
    </row>
    <row r="92" ht="15" customHeight="1">
      <c r="A92" t="s" s="13">
        <v>145</v>
      </c>
      <c r="B92" t="s" s="14">
        <v>132</v>
      </c>
      <c r="C92" s="15">
        <v>190</v>
      </c>
      <c r="D92" s="15">
        <v>103</v>
      </c>
      <c r="E92" s="15">
        <v>46</v>
      </c>
      <c r="F92" s="16" cm="1">
        <f t="array" ref="F92">ROUND(D92/E92,1)</f>
        <v>2.2</v>
      </c>
      <c r="G92" t="s" s="13">
        <v>28</v>
      </c>
      <c r="H92" s="15">
        <v>190</v>
      </c>
      <c r="I92" s="17">
        <v>2.08</v>
      </c>
      <c r="J92" s="15">
        <v>1467</v>
      </c>
      <c r="K92" s="15" cm="1">
        <f t="array" ref="K92">ROUND(H92*I92,0)</f>
        <v>395</v>
      </c>
      <c r="L92" s="15" cm="1">
        <f t="array" ref="L92">K92*J92</f>
        <v>579465</v>
      </c>
      <c r="M92" s="15">
        <v>47250</v>
      </c>
      <c r="N92" s="15" cm="1">
        <f t="array" ref="N92">D92*M92</f>
        <v>4866750</v>
      </c>
      <c r="O92" t="s" s="14">
        <v>40</v>
      </c>
    </row>
    <row r="93" ht="15" customHeight="1">
      <c r="A93" t="s" s="3">
        <v>146</v>
      </c>
      <c r="B93" t="s" s="4">
        <v>147</v>
      </c>
      <c r="C93" s="5">
        <v>103</v>
      </c>
      <c r="D93" s="5">
        <v>0</v>
      </c>
      <c r="E93" s="5">
        <v>29</v>
      </c>
      <c r="F93" s="6">
        <v>0</v>
      </c>
      <c r="G93" t="s" s="3">
        <v>37</v>
      </c>
      <c r="H93" s="5">
        <v>123</v>
      </c>
      <c r="I93" s="7">
        <v>1.79</v>
      </c>
      <c r="J93" s="5">
        <v>1144</v>
      </c>
      <c r="K93" s="5" cm="1">
        <f t="array" ref="K93">ROUND(H93*I93,0)</f>
        <v>220</v>
      </c>
      <c r="L93" s="5" cm="1">
        <f t="array" ref="L93">K93*J93</f>
        <v>251680</v>
      </c>
      <c r="M93" s="5">
        <v>48000</v>
      </c>
      <c r="N93" s="5" cm="1">
        <f t="array" ref="N93">D93*M93</f>
        <v>0</v>
      </c>
      <c r="O93" t="s" s="4">
        <v>18</v>
      </c>
    </row>
    <row r="94" ht="15" customHeight="1">
      <c r="A94" t="s" s="3">
        <v>148</v>
      </c>
      <c r="B94" t="s" s="4">
        <v>147</v>
      </c>
      <c r="C94" s="5">
        <v>91</v>
      </c>
      <c r="D94" s="5">
        <v>0</v>
      </c>
      <c r="E94" s="5">
        <v>29</v>
      </c>
      <c r="F94" s="6">
        <v>0</v>
      </c>
      <c r="G94" t="s" s="3">
        <v>95</v>
      </c>
      <c r="H94" s="5">
        <v>91</v>
      </c>
      <c r="I94" s="7">
        <v>1.86</v>
      </c>
      <c r="J94" s="5">
        <v>1166</v>
      </c>
      <c r="K94" s="5" cm="1">
        <f t="array" ref="K94">ROUND(H94*I94,0)</f>
        <v>169</v>
      </c>
      <c r="L94" s="5" cm="1">
        <f t="array" ref="L94">K94*J94</f>
        <v>197054</v>
      </c>
      <c r="M94" s="5">
        <v>48000</v>
      </c>
      <c r="N94" s="5" cm="1">
        <f t="array" ref="N94">D94*M94</f>
        <v>0</v>
      </c>
      <c r="O94" t="s" s="4">
        <v>18</v>
      </c>
    </row>
    <row r="95" ht="15" customHeight="1">
      <c r="A95" t="s" s="3">
        <v>149</v>
      </c>
      <c r="B95" t="s" s="4">
        <v>147</v>
      </c>
      <c r="C95" s="5">
        <v>119</v>
      </c>
      <c r="D95" s="5">
        <v>0</v>
      </c>
      <c r="E95" s="5">
        <v>29</v>
      </c>
      <c r="F95" s="6">
        <v>0</v>
      </c>
      <c r="G95" t="s" s="3">
        <v>51</v>
      </c>
      <c r="H95" s="5">
        <v>95</v>
      </c>
      <c r="I95" s="7">
        <v>1.89</v>
      </c>
      <c r="J95" s="5">
        <v>1194</v>
      </c>
      <c r="K95" s="5" cm="1">
        <f t="array" ref="K95">ROUND(H95*I95,0)</f>
        <v>180</v>
      </c>
      <c r="L95" s="5" cm="1">
        <f t="array" ref="L95">K95*J95</f>
        <v>214920</v>
      </c>
      <c r="M95" s="5">
        <v>48000</v>
      </c>
      <c r="N95" s="5" cm="1">
        <f t="array" ref="N95">D95*M95</f>
        <v>0</v>
      </c>
      <c r="O95" t="s" s="4">
        <v>18</v>
      </c>
    </row>
    <row r="96" ht="15" customHeight="1">
      <c r="A96" t="s" s="3">
        <v>150</v>
      </c>
      <c r="B96" t="s" s="4">
        <v>147</v>
      </c>
      <c r="C96" s="5">
        <v>86</v>
      </c>
      <c r="D96" s="5">
        <v>0</v>
      </c>
      <c r="E96" s="5">
        <v>29</v>
      </c>
      <c r="F96" s="6">
        <v>0</v>
      </c>
      <c r="G96" t="s" s="3">
        <v>57</v>
      </c>
      <c r="H96" s="5">
        <v>86</v>
      </c>
      <c r="I96" s="7">
        <v>1.87</v>
      </c>
      <c r="J96" s="5">
        <v>1227</v>
      </c>
      <c r="K96" s="5" cm="1">
        <f t="array" ref="K96">ROUND(H96*I96,0)</f>
        <v>161</v>
      </c>
      <c r="L96" s="5" cm="1">
        <f t="array" ref="L96">K96*J96</f>
        <v>197547</v>
      </c>
      <c r="M96" s="5">
        <v>49200</v>
      </c>
      <c r="N96" s="5" cm="1">
        <f t="array" ref="N96">D96*M96</f>
        <v>0</v>
      </c>
      <c r="O96" t="s" s="4">
        <v>18</v>
      </c>
    </row>
    <row r="97" ht="15" customHeight="1">
      <c r="A97" t="s" s="8">
        <v>151</v>
      </c>
      <c r="B97" t="s" s="9">
        <v>147</v>
      </c>
      <c r="C97" s="10">
        <v>100</v>
      </c>
      <c r="D97" s="10">
        <v>0</v>
      </c>
      <c r="E97" s="10">
        <v>0</v>
      </c>
      <c r="F97" s="11">
        <v>0</v>
      </c>
      <c r="G97" t="s" s="8">
        <v>34</v>
      </c>
      <c r="H97" s="10">
        <v>0</v>
      </c>
      <c r="I97" s="12">
        <v>2.05</v>
      </c>
      <c r="J97" s="10">
        <v>1402</v>
      </c>
      <c r="K97" s="10">
        <v>205</v>
      </c>
      <c r="L97" s="10" cm="1">
        <f t="array" ref="L97">K97*J97</f>
        <v>287410</v>
      </c>
      <c r="M97" s="10">
        <v>0</v>
      </c>
      <c r="N97" s="10" cm="1">
        <f t="array" ref="N97">D97*M97</f>
        <v>0</v>
      </c>
      <c r="O97" t="s" s="9">
        <v>152</v>
      </c>
    </row>
    <row r="98" ht="15" customHeight="1">
      <c r="A98" t="s" s="3">
        <v>153</v>
      </c>
      <c r="B98" t="s" s="4">
        <v>147</v>
      </c>
      <c r="C98" s="5">
        <v>101</v>
      </c>
      <c r="D98" s="5">
        <v>0</v>
      </c>
      <c r="E98" s="5">
        <v>29</v>
      </c>
      <c r="F98" s="6">
        <v>0</v>
      </c>
      <c r="G98" t="s" s="3">
        <v>30</v>
      </c>
      <c r="H98" s="5">
        <v>121</v>
      </c>
      <c r="I98" s="7">
        <v>1.76</v>
      </c>
      <c r="J98" s="5">
        <v>1396</v>
      </c>
      <c r="K98" s="5" cm="1">
        <f t="array" ref="K98">ROUND(H98*I98,0)</f>
        <v>213</v>
      </c>
      <c r="L98" s="5" cm="1">
        <f t="array" ref="L98">K98*J98</f>
        <v>297348</v>
      </c>
      <c r="M98" s="5">
        <v>49200</v>
      </c>
      <c r="N98" s="5" cm="1">
        <f t="array" ref="N98">D98*M98</f>
        <v>0</v>
      </c>
      <c r="O98" t="s" s="4">
        <v>18</v>
      </c>
    </row>
    <row r="99" ht="15" customHeight="1">
      <c r="A99" t="s" s="3">
        <v>154</v>
      </c>
      <c r="B99" t="s" s="4">
        <v>147</v>
      </c>
      <c r="C99" s="5">
        <v>100</v>
      </c>
      <c r="D99" s="5">
        <v>0</v>
      </c>
      <c r="E99" s="5">
        <v>29</v>
      </c>
      <c r="F99" s="6">
        <v>0</v>
      </c>
      <c r="G99" t="s" s="3">
        <v>45</v>
      </c>
      <c r="H99" s="5">
        <v>100</v>
      </c>
      <c r="I99" s="7">
        <v>1.97</v>
      </c>
      <c r="J99" s="5">
        <v>1301</v>
      </c>
      <c r="K99" s="5" cm="1">
        <f t="array" ref="K99">ROUND(H99*I99,0)</f>
        <v>197</v>
      </c>
      <c r="L99" s="5" cm="1">
        <f t="array" ref="L99">K99*J99</f>
        <v>256297</v>
      </c>
      <c r="M99" s="5">
        <v>50400</v>
      </c>
      <c r="N99" s="5" cm="1">
        <f t="array" ref="N99">D99*M99</f>
        <v>0</v>
      </c>
      <c r="O99" t="s" s="4">
        <v>18</v>
      </c>
    </row>
    <row r="100" ht="15" customHeight="1">
      <c r="A100" t="s" s="3">
        <v>155</v>
      </c>
      <c r="B100" t="s" s="4">
        <v>147</v>
      </c>
      <c r="C100" s="5">
        <v>134</v>
      </c>
      <c r="D100" s="5">
        <v>0</v>
      </c>
      <c r="E100" s="5">
        <v>29</v>
      </c>
      <c r="F100" s="6">
        <v>0</v>
      </c>
      <c r="G100" t="s" s="3">
        <v>37</v>
      </c>
      <c r="H100" s="5">
        <v>160</v>
      </c>
      <c r="I100" s="7">
        <v>2.01</v>
      </c>
      <c r="J100" s="5">
        <v>1297</v>
      </c>
      <c r="K100" s="5" cm="1">
        <f t="array" ref="K100">ROUND(H100*I100,0)</f>
        <v>322</v>
      </c>
      <c r="L100" s="5" cm="1">
        <f t="array" ref="L100">K100*J100</f>
        <v>417634</v>
      </c>
      <c r="M100" s="5">
        <v>50400</v>
      </c>
      <c r="N100" s="5" cm="1">
        <f t="array" ref="N100">D100*M100</f>
        <v>0</v>
      </c>
      <c r="O100" t="s" s="4">
        <v>18</v>
      </c>
    </row>
    <row r="101" ht="15" customHeight="1">
      <c r="A101" t="s" s="3">
        <v>156</v>
      </c>
      <c r="B101" t="s" s="4">
        <v>147</v>
      </c>
      <c r="C101" s="5">
        <v>122</v>
      </c>
      <c r="D101" s="5">
        <v>0</v>
      </c>
      <c r="E101" s="5">
        <v>29</v>
      </c>
      <c r="F101" s="6">
        <v>0</v>
      </c>
      <c r="G101" t="s" s="3">
        <v>61</v>
      </c>
      <c r="H101" s="5">
        <v>122</v>
      </c>
      <c r="I101" s="7">
        <v>2.07</v>
      </c>
      <c r="J101" s="5">
        <v>1335</v>
      </c>
      <c r="K101" s="5" cm="1">
        <f t="array" ref="K101">ROUND(H101*I101,0)</f>
        <v>253</v>
      </c>
      <c r="L101" s="5" cm="1">
        <f t="array" ref="L101">K101*J101</f>
        <v>337755</v>
      </c>
      <c r="M101" s="5">
        <v>51600</v>
      </c>
      <c r="N101" s="5" cm="1">
        <f t="array" ref="N101">D101*M101</f>
        <v>0</v>
      </c>
      <c r="O101" t="s" s="4">
        <v>18</v>
      </c>
    </row>
    <row r="102" ht="15" customHeight="1">
      <c r="A102" t="s" s="3">
        <v>157</v>
      </c>
      <c r="B102" t="s" s="4">
        <v>147</v>
      </c>
      <c r="C102" s="5">
        <v>145</v>
      </c>
      <c r="D102" s="5">
        <v>0</v>
      </c>
      <c r="E102" s="5">
        <v>29</v>
      </c>
      <c r="F102" s="6">
        <v>0</v>
      </c>
      <c r="G102" t="s" s="3">
        <v>130</v>
      </c>
      <c r="H102" s="5">
        <v>145</v>
      </c>
      <c r="I102" s="7">
        <v>2.22</v>
      </c>
      <c r="J102" s="5">
        <v>1363</v>
      </c>
      <c r="K102" s="5" cm="1">
        <f t="array" ref="K102">ROUND(H102*I102,0)</f>
        <v>322</v>
      </c>
      <c r="L102" s="5" cm="1">
        <f t="array" ref="L102">K102*J102</f>
        <v>438886</v>
      </c>
      <c r="M102" s="5">
        <v>51600</v>
      </c>
      <c r="N102" s="5" cm="1">
        <f t="array" ref="N102">D102*M102</f>
        <v>0</v>
      </c>
      <c r="O102" t="s" s="4">
        <v>18</v>
      </c>
    </row>
    <row r="103" ht="15" customHeight="1">
      <c r="A103" t="s" s="13">
        <v>158</v>
      </c>
      <c r="B103" t="s" s="14">
        <v>147</v>
      </c>
      <c r="C103" s="15">
        <v>114</v>
      </c>
      <c r="D103" s="15">
        <v>1</v>
      </c>
      <c r="E103" s="15">
        <v>29</v>
      </c>
      <c r="F103" s="16" cm="1">
        <f t="array" ref="F103">ROUND(D103/E103,1)</f>
        <v>0</v>
      </c>
      <c r="G103" t="s" s="13">
        <v>57</v>
      </c>
      <c r="H103" s="15">
        <v>114</v>
      </c>
      <c r="I103" s="17">
        <v>2.29</v>
      </c>
      <c r="J103" s="15">
        <v>1358</v>
      </c>
      <c r="K103" s="15" cm="1">
        <f t="array" ref="K103">ROUND(H103*I103,0)</f>
        <v>261</v>
      </c>
      <c r="L103" s="15" cm="1">
        <f t="array" ref="L103">K103*J103</f>
        <v>354438</v>
      </c>
      <c r="M103" s="15">
        <v>52800</v>
      </c>
      <c r="N103" s="15" cm="1">
        <f t="array" ref="N103">D103*M103</f>
        <v>52800</v>
      </c>
      <c r="O103" t="s" s="14">
        <v>40</v>
      </c>
    </row>
    <row r="104" ht="15" customHeight="1">
      <c r="A104" t="s" s="13">
        <v>159</v>
      </c>
      <c r="B104" t="s" s="14">
        <v>147</v>
      </c>
      <c r="C104" s="15">
        <v>95</v>
      </c>
      <c r="D104" s="15">
        <v>4</v>
      </c>
      <c r="E104" s="15">
        <v>29</v>
      </c>
      <c r="F104" s="16" cm="1">
        <f t="array" ref="F104">ROUND(D104/E104,1)</f>
        <v>0.1</v>
      </c>
      <c r="G104" t="s" s="13">
        <v>20</v>
      </c>
      <c r="H104" s="15">
        <v>76</v>
      </c>
      <c r="I104" s="17">
        <v>2.16</v>
      </c>
      <c r="J104" s="15">
        <v>1372</v>
      </c>
      <c r="K104" s="15" cm="1">
        <f t="array" ref="K104">ROUND(H104*I104,0)</f>
        <v>164</v>
      </c>
      <c r="L104" s="15" cm="1">
        <f t="array" ref="L104">K104*J104</f>
        <v>225008</v>
      </c>
      <c r="M104" s="15">
        <v>52800</v>
      </c>
      <c r="N104" s="15" cm="1">
        <f t="array" ref="N104">D104*M104</f>
        <v>211200</v>
      </c>
      <c r="O104" t="s" s="14">
        <v>40</v>
      </c>
    </row>
    <row r="105" ht="15" customHeight="1">
      <c r="A105" t="s" s="13">
        <v>160</v>
      </c>
      <c r="B105" t="s" s="14">
        <v>147</v>
      </c>
      <c r="C105" s="15">
        <v>76</v>
      </c>
      <c r="D105" s="15">
        <v>61</v>
      </c>
      <c r="E105" s="15">
        <v>29</v>
      </c>
      <c r="F105" s="16" cm="1">
        <f t="array" ref="F105">ROUND(D105/E105,1)</f>
        <v>2.1</v>
      </c>
      <c r="G105" t="s" s="13">
        <v>51</v>
      </c>
      <c r="H105" s="15">
        <v>60</v>
      </c>
      <c r="I105" s="17">
        <v>2.03</v>
      </c>
      <c r="J105" s="15">
        <v>1450</v>
      </c>
      <c r="K105" s="15" cm="1">
        <f t="array" ref="K105">ROUND(H105*I105,0)</f>
        <v>122</v>
      </c>
      <c r="L105" s="15" cm="1">
        <f t="array" ref="L105">K105*J105</f>
        <v>176900</v>
      </c>
      <c r="M105" s="15">
        <v>52800</v>
      </c>
      <c r="N105" s="15" cm="1">
        <f t="array" ref="N105">D105*M105</f>
        <v>3220800</v>
      </c>
      <c r="O105" t="s" s="14">
        <v>40</v>
      </c>
    </row>
    <row r="106" ht="15" customHeight="1">
      <c r="A106" t="s" s="13">
        <v>161</v>
      </c>
      <c r="B106" t="s" s="14">
        <v>147</v>
      </c>
      <c r="C106" s="15">
        <v>138</v>
      </c>
      <c r="D106" s="15">
        <v>87</v>
      </c>
      <c r="E106" s="15">
        <v>29</v>
      </c>
      <c r="F106" s="16" cm="1">
        <f t="array" ref="F106">ROUND(D106/E106,1)</f>
        <v>3</v>
      </c>
      <c r="G106" t="s" s="13">
        <v>61</v>
      </c>
      <c r="H106" s="15">
        <v>110</v>
      </c>
      <c r="I106" s="17">
        <v>2.16</v>
      </c>
      <c r="J106" s="15">
        <v>1471</v>
      </c>
      <c r="K106" s="15" cm="1">
        <f t="array" ref="K106">ROUND(H106*I106,0)</f>
        <v>238</v>
      </c>
      <c r="L106" s="15" cm="1">
        <f t="array" ref="L106">K106*J106</f>
        <v>350098</v>
      </c>
      <c r="M106" s="15">
        <v>54000</v>
      </c>
      <c r="N106" s="15" cm="1">
        <f t="array" ref="N106">D106*M106</f>
        <v>4698000</v>
      </c>
      <c r="O106" t="s" s="14">
        <v>40</v>
      </c>
    </row>
    <row r="107" ht="15" customHeight="1">
      <c r="A107" t="s" s="3">
        <v>162</v>
      </c>
      <c r="B107" t="s" s="4">
        <v>163</v>
      </c>
      <c r="C107" s="5">
        <v>108</v>
      </c>
      <c r="D107" s="5">
        <v>0</v>
      </c>
      <c r="E107" s="5">
        <v>34</v>
      </c>
      <c r="F107" s="6">
        <v>0</v>
      </c>
      <c r="G107" t="s" s="3">
        <v>28</v>
      </c>
      <c r="H107" s="5">
        <v>86</v>
      </c>
      <c r="I107" s="7">
        <v>0.77</v>
      </c>
      <c r="J107" s="5">
        <v>1095</v>
      </c>
      <c r="K107" s="5" cm="1">
        <f t="array" ref="K107">ROUND(H107*I107,0)</f>
        <v>66</v>
      </c>
      <c r="L107" s="5" cm="1">
        <f t="array" ref="L107">K107*J107</f>
        <v>72270</v>
      </c>
      <c r="M107" s="5">
        <v>28000</v>
      </c>
      <c r="N107" s="5" cm="1">
        <f t="array" ref="N107">D107*M107</f>
        <v>0</v>
      </c>
      <c r="O107" t="s" s="4">
        <v>18</v>
      </c>
    </row>
    <row r="108" ht="15" customHeight="1">
      <c r="A108" t="s" s="3">
        <v>164</v>
      </c>
      <c r="B108" t="s" s="4">
        <v>163</v>
      </c>
      <c r="C108" s="5">
        <v>127</v>
      </c>
      <c r="D108" s="5">
        <v>0</v>
      </c>
      <c r="E108" s="5">
        <v>34</v>
      </c>
      <c r="F108" s="6">
        <v>0</v>
      </c>
      <c r="G108" t="s" s="3">
        <v>63</v>
      </c>
      <c r="H108" s="5">
        <v>101</v>
      </c>
      <c r="I108" s="7">
        <v>0.84</v>
      </c>
      <c r="J108" s="5">
        <v>1186</v>
      </c>
      <c r="K108" s="5" cm="1">
        <f t="array" ref="K108">ROUND(H108*I108,0)</f>
        <v>85</v>
      </c>
      <c r="L108" s="5" cm="1">
        <f t="array" ref="L108">K108*J108</f>
        <v>100810</v>
      </c>
      <c r="M108" s="5">
        <v>28000</v>
      </c>
      <c r="N108" s="5" cm="1">
        <f t="array" ref="N108">D108*M108</f>
        <v>0</v>
      </c>
      <c r="O108" t="s" s="4">
        <v>18</v>
      </c>
    </row>
    <row r="109" ht="15" customHeight="1">
      <c r="A109" t="s" s="3">
        <v>165</v>
      </c>
      <c r="B109" t="s" s="4">
        <v>163</v>
      </c>
      <c r="C109" s="5">
        <v>160</v>
      </c>
      <c r="D109" s="5">
        <v>0</v>
      </c>
      <c r="E109" s="5">
        <v>34</v>
      </c>
      <c r="F109" s="6">
        <v>0</v>
      </c>
      <c r="G109" t="s" s="3">
        <v>130</v>
      </c>
      <c r="H109" s="5">
        <v>160</v>
      </c>
      <c r="I109" s="7">
        <v>0.79</v>
      </c>
      <c r="J109" s="5">
        <v>1182</v>
      </c>
      <c r="K109" s="5" cm="1">
        <f t="array" ref="K109">ROUND(H109*I109,0)</f>
        <v>126</v>
      </c>
      <c r="L109" s="5" cm="1">
        <f t="array" ref="L109">K109*J109</f>
        <v>148932</v>
      </c>
      <c r="M109" s="5">
        <v>28000</v>
      </c>
      <c r="N109" s="5" cm="1">
        <f t="array" ref="N109">D109*M109</f>
        <v>0</v>
      </c>
      <c r="O109" t="s" s="4">
        <v>18</v>
      </c>
    </row>
    <row r="110" ht="15" customHeight="1">
      <c r="A110" t="s" s="3">
        <v>166</v>
      </c>
      <c r="B110" t="s" s="4">
        <v>163</v>
      </c>
      <c r="C110" s="5">
        <v>139</v>
      </c>
      <c r="D110" s="5">
        <v>0</v>
      </c>
      <c r="E110" s="5">
        <v>34</v>
      </c>
      <c r="F110" s="6">
        <v>0</v>
      </c>
      <c r="G110" t="s" s="3">
        <v>105</v>
      </c>
      <c r="H110" s="5">
        <v>111</v>
      </c>
      <c r="I110" s="7">
        <v>0.87</v>
      </c>
      <c r="J110" s="5">
        <v>1205</v>
      </c>
      <c r="K110" s="5" cm="1">
        <f t="array" ref="K110">ROUND(H110*I110,0)</f>
        <v>97</v>
      </c>
      <c r="L110" s="5" cm="1">
        <f t="array" ref="L110">K110*J110</f>
        <v>116885</v>
      </c>
      <c r="M110" s="5">
        <v>28700</v>
      </c>
      <c r="N110" s="5" cm="1">
        <f t="array" ref="N110">D110*M110</f>
        <v>0</v>
      </c>
      <c r="O110" t="s" s="4">
        <v>18</v>
      </c>
    </row>
    <row r="111" ht="15" customHeight="1">
      <c r="A111" t="s" s="3">
        <v>167</v>
      </c>
      <c r="B111" t="s" s="4">
        <v>163</v>
      </c>
      <c r="C111" s="5">
        <v>139</v>
      </c>
      <c r="D111" s="5">
        <v>0</v>
      </c>
      <c r="E111" s="5">
        <v>34</v>
      </c>
      <c r="F111" s="6">
        <v>0</v>
      </c>
      <c r="G111" t="s" s="3">
        <v>20</v>
      </c>
      <c r="H111" s="5">
        <v>166</v>
      </c>
      <c r="I111" s="7">
        <v>0.85</v>
      </c>
      <c r="J111" s="5">
        <v>1318</v>
      </c>
      <c r="K111" s="5" cm="1">
        <f t="array" ref="K111">ROUND(H111*I111,0)</f>
        <v>141</v>
      </c>
      <c r="L111" s="5" cm="1">
        <f t="array" ref="L111">K111*J111</f>
        <v>185838</v>
      </c>
      <c r="M111" s="5">
        <v>28700</v>
      </c>
      <c r="N111" s="5" cm="1">
        <f t="array" ref="N111">D111*M111</f>
        <v>0</v>
      </c>
      <c r="O111" t="s" s="4">
        <v>18</v>
      </c>
    </row>
    <row r="112" ht="15" customHeight="1">
      <c r="A112" t="s" s="3">
        <v>168</v>
      </c>
      <c r="B112" t="s" s="4">
        <v>163</v>
      </c>
      <c r="C112" s="5">
        <v>109</v>
      </c>
      <c r="D112" s="5">
        <v>0</v>
      </c>
      <c r="E112" s="5">
        <v>34</v>
      </c>
      <c r="F112" s="6">
        <v>0</v>
      </c>
      <c r="G112" t="s" s="3">
        <v>30</v>
      </c>
      <c r="H112" s="5">
        <v>87</v>
      </c>
      <c r="I112" s="7">
        <v>0.85</v>
      </c>
      <c r="J112" s="5">
        <v>1420</v>
      </c>
      <c r="K112" s="5" cm="1">
        <f t="array" ref="K112">ROUND(H112*I112,0)</f>
        <v>74</v>
      </c>
      <c r="L112" s="5" cm="1">
        <f t="array" ref="L112">K112*J112</f>
        <v>105080</v>
      </c>
      <c r="M112" s="5">
        <v>28700</v>
      </c>
      <c r="N112" s="5" cm="1">
        <f t="array" ref="N112">D112*M112</f>
        <v>0</v>
      </c>
      <c r="O112" t="s" s="4">
        <v>18</v>
      </c>
    </row>
    <row r="113" ht="15" customHeight="1">
      <c r="A113" t="s" s="3">
        <v>169</v>
      </c>
      <c r="B113" t="s" s="4">
        <v>163</v>
      </c>
      <c r="C113" s="5">
        <v>104</v>
      </c>
      <c r="D113" s="5">
        <v>0</v>
      </c>
      <c r="E113" s="5">
        <v>34</v>
      </c>
      <c r="F113" s="6">
        <v>0</v>
      </c>
      <c r="G113" t="s" s="3">
        <v>22</v>
      </c>
      <c r="H113" s="5">
        <v>104</v>
      </c>
      <c r="I113" s="7">
        <v>0.8</v>
      </c>
      <c r="J113" s="5">
        <v>1245</v>
      </c>
      <c r="K113" s="5" cm="1">
        <f t="array" ref="K113">ROUND(H113*I113,0)</f>
        <v>83</v>
      </c>
      <c r="L113" s="5" cm="1">
        <f t="array" ref="L113">K113*J113</f>
        <v>103335</v>
      </c>
      <c r="M113" s="5">
        <v>29400</v>
      </c>
      <c r="N113" s="5" cm="1">
        <f t="array" ref="N113">D113*M113</f>
        <v>0</v>
      </c>
      <c r="O113" t="s" s="4">
        <v>18</v>
      </c>
    </row>
    <row r="114" ht="15" customHeight="1">
      <c r="A114" t="s" s="13">
        <v>170</v>
      </c>
      <c r="B114" t="s" s="14">
        <v>163</v>
      </c>
      <c r="C114" s="15">
        <v>139</v>
      </c>
      <c r="D114" s="15">
        <v>14</v>
      </c>
      <c r="E114" s="15">
        <v>34</v>
      </c>
      <c r="F114" s="16" cm="1">
        <f t="array" ref="F114">ROUND(D114/E114,1)</f>
        <v>0.4</v>
      </c>
      <c r="G114" t="s" s="13">
        <v>45</v>
      </c>
      <c r="H114" s="15">
        <v>111</v>
      </c>
      <c r="I114" s="17">
        <v>0.8</v>
      </c>
      <c r="J114" s="15">
        <v>1275</v>
      </c>
      <c r="K114" s="15" cm="1">
        <f t="array" ref="K114">ROUND(H114*I114,0)</f>
        <v>89</v>
      </c>
      <c r="L114" s="15" cm="1">
        <f t="array" ref="L114">K114*J114</f>
        <v>113475</v>
      </c>
      <c r="M114" s="15">
        <v>29400</v>
      </c>
      <c r="N114" s="15" cm="1">
        <f t="array" ref="N114">D114*M114</f>
        <v>411600</v>
      </c>
      <c r="O114" t="s" s="14">
        <v>40</v>
      </c>
    </row>
    <row r="115" ht="15" customHeight="1">
      <c r="A115" t="s" s="13">
        <v>171</v>
      </c>
      <c r="B115" t="s" s="14">
        <v>163</v>
      </c>
      <c r="C115" s="15">
        <v>158</v>
      </c>
      <c r="D115" s="15">
        <v>2</v>
      </c>
      <c r="E115" s="15">
        <v>34</v>
      </c>
      <c r="F115" s="16" cm="1">
        <f t="array" ref="F115">ROUND(D115/E115,1)</f>
        <v>0.1</v>
      </c>
      <c r="G115" t="s" s="13">
        <v>81</v>
      </c>
      <c r="H115" s="15">
        <v>158</v>
      </c>
      <c r="I115" s="17">
        <v>0.9</v>
      </c>
      <c r="J115" s="15">
        <v>1338</v>
      </c>
      <c r="K115" s="15" cm="1">
        <f t="array" ref="K115">ROUND(H115*I115,0)</f>
        <v>142</v>
      </c>
      <c r="L115" s="15" cm="1">
        <f t="array" ref="L115">K115*J115</f>
        <v>189996</v>
      </c>
      <c r="M115" s="15">
        <v>30100</v>
      </c>
      <c r="N115" s="15" cm="1">
        <f t="array" ref="N115">D115*M115</f>
        <v>60200</v>
      </c>
      <c r="O115" t="s" s="14">
        <v>40</v>
      </c>
    </row>
    <row r="116" ht="15" customHeight="1">
      <c r="A116" t="s" s="13">
        <v>172</v>
      </c>
      <c r="B116" t="s" s="14">
        <v>163</v>
      </c>
      <c r="C116" s="15">
        <v>99</v>
      </c>
      <c r="D116" s="15">
        <v>9</v>
      </c>
      <c r="E116" s="15">
        <v>34</v>
      </c>
      <c r="F116" s="16" cm="1">
        <f t="array" ref="F116">ROUND(D116/E116,1)</f>
        <v>0.3</v>
      </c>
      <c r="G116" t="s" s="13">
        <v>130</v>
      </c>
      <c r="H116" s="15">
        <v>99</v>
      </c>
      <c r="I116" s="17">
        <v>0.89</v>
      </c>
      <c r="J116" s="15">
        <v>1364</v>
      </c>
      <c r="K116" s="15" cm="1">
        <f t="array" ref="K116">ROUND(H116*I116,0)</f>
        <v>88</v>
      </c>
      <c r="L116" s="15" cm="1">
        <f t="array" ref="L116">K116*J116</f>
        <v>120032</v>
      </c>
      <c r="M116" s="15">
        <v>30100</v>
      </c>
      <c r="N116" s="15" cm="1">
        <f t="array" ref="N116">D116*M116</f>
        <v>270900</v>
      </c>
      <c r="O116" t="s" s="14">
        <v>40</v>
      </c>
    </row>
    <row r="117" ht="15" customHeight="1">
      <c r="A117" t="s" s="13">
        <v>173</v>
      </c>
      <c r="B117" t="s" s="14">
        <v>163</v>
      </c>
      <c r="C117" s="15">
        <v>99</v>
      </c>
      <c r="D117" s="15">
        <v>8</v>
      </c>
      <c r="E117" s="15">
        <v>34</v>
      </c>
      <c r="F117" s="16" cm="1">
        <f t="array" ref="F117">ROUND(D117/E117,1)</f>
        <v>0.2</v>
      </c>
      <c r="G117" t="s" s="13">
        <v>24</v>
      </c>
      <c r="H117" s="15">
        <v>79</v>
      </c>
      <c r="I117" s="17">
        <v>0.99</v>
      </c>
      <c r="J117" s="15">
        <v>1373</v>
      </c>
      <c r="K117" s="15" cm="1">
        <f t="array" ref="K117">ROUND(H117*I117,0)</f>
        <v>78</v>
      </c>
      <c r="L117" s="15" cm="1">
        <f t="array" ref="L117">K117*J117</f>
        <v>107094</v>
      </c>
      <c r="M117" s="15">
        <v>30100</v>
      </c>
      <c r="N117" s="15" cm="1">
        <f t="array" ref="N117">D117*M117</f>
        <v>240800</v>
      </c>
      <c r="O117" t="s" s="14">
        <v>40</v>
      </c>
    </row>
    <row r="118" ht="15" customHeight="1">
      <c r="A118" t="s" s="13">
        <v>174</v>
      </c>
      <c r="B118" t="s" s="14">
        <v>163</v>
      </c>
      <c r="C118" s="15">
        <v>152</v>
      </c>
      <c r="D118" s="15">
        <v>19</v>
      </c>
      <c r="E118" s="15">
        <v>34</v>
      </c>
      <c r="F118" s="16" cm="1">
        <f t="array" ref="F118">ROUND(D118/E118,1)</f>
        <v>0.6</v>
      </c>
      <c r="G118" t="s" s="13">
        <v>105</v>
      </c>
      <c r="H118" s="15">
        <v>121</v>
      </c>
      <c r="I118" s="17">
        <v>0.88</v>
      </c>
      <c r="J118" s="15">
        <v>1452</v>
      </c>
      <c r="K118" s="15" cm="1">
        <f t="array" ref="K118">ROUND(H118*I118,0)</f>
        <v>106</v>
      </c>
      <c r="L118" s="15" cm="1">
        <f t="array" ref="L118">K118*J118</f>
        <v>153912</v>
      </c>
      <c r="M118" s="15">
        <v>30800</v>
      </c>
      <c r="N118" s="15" cm="1">
        <f t="array" ref="N118">D118*M118</f>
        <v>585200</v>
      </c>
      <c r="O118" t="s" s="14">
        <v>40</v>
      </c>
    </row>
    <row r="119" ht="15" customHeight="1">
      <c r="A119" t="s" s="13">
        <v>175</v>
      </c>
      <c r="B119" t="s" s="14">
        <v>163</v>
      </c>
      <c r="C119" s="15">
        <v>140</v>
      </c>
      <c r="D119" s="15">
        <v>4</v>
      </c>
      <c r="E119" s="15">
        <v>34</v>
      </c>
      <c r="F119" s="16" cm="1">
        <f t="array" ref="F119">ROUND(D119/E119,1)</f>
        <v>0.1</v>
      </c>
      <c r="G119" t="s" s="13">
        <v>130</v>
      </c>
      <c r="H119" s="15">
        <v>112</v>
      </c>
      <c r="I119" s="17">
        <v>0.99</v>
      </c>
      <c r="J119" s="15">
        <v>1397</v>
      </c>
      <c r="K119" s="15" cm="1">
        <f t="array" ref="K119">ROUND(H119*I119,0)</f>
        <v>111</v>
      </c>
      <c r="L119" s="15" cm="1">
        <f t="array" ref="L119">K119*J119</f>
        <v>155067</v>
      </c>
      <c r="M119" s="15">
        <v>30800</v>
      </c>
      <c r="N119" s="15" cm="1">
        <f t="array" ref="N119">D119*M119</f>
        <v>123200</v>
      </c>
      <c r="O119" t="s" s="14">
        <v>40</v>
      </c>
    </row>
    <row r="120" ht="15" customHeight="1">
      <c r="A120" t="s" s="13">
        <v>176</v>
      </c>
      <c r="B120" t="s" s="14">
        <v>163</v>
      </c>
      <c r="C120" s="15">
        <v>100</v>
      </c>
      <c r="D120" s="15">
        <v>14</v>
      </c>
      <c r="E120" s="15">
        <v>34</v>
      </c>
      <c r="F120" s="16" cm="1">
        <f t="array" ref="F120">ROUND(D120/E120,1)</f>
        <v>0.4</v>
      </c>
      <c r="G120" t="s" s="13">
        <v>83</v>
      </c>
      <c r="H120" s="15">
        <v>100</v>
      </c>
      <c r="I120" s="17">
        <v>1.02</v>
      </c>
      <c r="J120" s="15">
        <v>1378</v>
      </c>
      <c r="K120" s="15" cm="1">
        <f t="array" ref="K120">ROUND(H120*I120,0)</f>
        <v>102</v>
      </c>
      <c r="L120" s="15" cm="1">
        <f t="array" ref="L120">K120*J120</f>
        <v>140556</v>
      </c>
      <c r="M120" s="15">
        <v>30800</v>
      </c>
      <c r="N120" s="15" cm="1">
        <f t="array" ref="N120">D120*M120</f>
        <v>431200</v>
      </c>
      <c r="O120" t="s" s="14">
        <v>40</v>
      </c>
    </row>
    <row r="121" ht="15" customHeight="1">
      <c r="A121" t="s" s="13">
        <v>177</v>
      </c>
      <c r="B121" t="s" s="14">
        <v>163</v>
      </c>
      <c r="C121" s="15">
        <v>155</v>
      </c>
      <c r="D121" s="15">
        <v>87</v>
      </c>
      <c r="E121" s="15">
        <v>34</v>
      </c>
      <c r="F121" s="16" cm="1">
        <f t="array" ref="F121">ROUND(D121/E121,1)</f>
        <v>2.6</v>
      </c>
      <c r="G121" t="s" s="13">
        <v>102</v>
      </c>
      <c r="H121" s="15">
        <v>124</v>
      </c>
      <c r="I121" s="17">
        <v>0.86</v>
      </c>
      <c r="J121" s="15">
        <v>1469</v>
      </c>
      <c r="K121" s="15" cm="1">
        <f t="array" ref="K121">ROUND(H121*I121,0)</f>
        <v>107</v>
      </c>
      <c r="L121" s="15" cm="1">
        <f t="array" ref="L121">K121*J121</f>
        <v>157183</v>
      </c>
      <c r="M121" s="15">
        <v>31500</v>
      </c>
      <c r="N121" s="15" cm="1">
        <f t="array" ref="N121">D121*M121</f>
        <v>2740500</v>
      </c>
      <c r="O121" t="s" s="14">
        <v>40</v>
      </c>
    </row>
    <row r="122" ht="15" customHeight="1">
      <c r="A122" t="s" s="3">
        <v>178</v>
      </c>
      <c r="B122" t="s" s="4">
        <v>179</v>
      </c>
      <c r="C122" s="5">
        <v>927</v>
      </c>
      <c r="D122" s="5">
        <v>0</v>
      </c>
      <c r="E122" s="5">
        <v>345</v>
      </c>
      <c r="F122" s="6">
        <v>0</v>
      </c>
      <c r="G122" t="s" s="3">
        <v>39</v>
      </c>
      <c r="H122" s="5">
        <v>1112</v>
      </c>
      <c r="I122" s="7">
        <v>0.17</v>
      </c>
      <c r="J122" s="5">
        <v>1120</v>
      </c>
      <c r="K122" s="5" cm="1">
        <f t="array" ref="K122">ROUND(H122*I122,0)</f>
        <v>189</v>
      </c>
      <c r="L122" s="5" cm="1">
        <f t="array" ref="L122">K122*J122</f>
        <v>211680</v>
      </c>
      <c r="M122" s="5">
        <v>9500</v>
      </c>
      <c r="N122" s="5" cm="1">
        <f t="array" ref="N122">D122*M122</f>
        <v>0</v>
      </c>
      <c r="O122" t="s" s="4">
        <v>18</v>
      </c>
    </row>
    <row r="123" ht="15" customHeight="1">
      <c r="A123" t="s" s="3">
        <v>180</v>
      </c>
      <c r="B123" t="s" s="4">
        <v>179</v>
      </c>
      <c r="C123" s="5">
        <v>1173</v>
      </c>
      <c r="D123" s="5">
        <v>0</v>
      </c>
      <c r="E123" s="5">
        <v>345</v>
      </c>
      <c r="F123" s="6">
        <v>0</v>
      </c>
      <c r="G123" t="s" s="3">
        <v>81</v>
      </c>
      <c r="H123" s="5">
        <v>1173</v>
      </c>
      <c r="I123" s="7">
        <v>0.17</v>
      </c>
      <c r="J123" s="5">
        <v>1181</v>
      </c>
      <c r="K123" s="5" cm="1">
        <f t="array" ref="K123">ROUND(H123*I123,0)</f>
        <v>199</v>
      </c>
      <c r="L123" s="5" cm="1">
        <f t="array" ref="L123">K123*J123</f>
        <v>235019</v>
      </c>
      <c r="M123" s="5">
        <v>9500</v>
      </c>
      <c r="N123" s="5" cm="1">
        <f t="array" ref="N123">D123*M123</f>
        <v>0</v>
      </c>
      <c r="O123" t="s" s="4">
        <v>18</v>
      </c>
    </row>
    <row r="124" ht="15" customHeight="1">
      <c r="A124" t="s" s="3">
        <v>181</v>
      </c>
      <c r="B124" t="s" s="4">
        <v>179</v>
      </c>
      <c r="C124" s="5">
        <v>1184</v>
      </c>
      <c r="D124" s="5">
        <v>0</v>
      </c>
      <c r="E124" s="5">
        <v>345</v>
      </c>
      <c r="F124" s="6">
        <v>0</v>
      </c>
      <c r="G124" t="s" s="3">
        <v>105</v>
      </c>
      <c r="H124" s="5">
        <v>1184</v>
      </c>
      <c r="I124" s="7">
        <v>0.18</v>
      </c>
      <c r="J124" s="5">
        <v>1225</v>
      </c>
      <c r="K124" s="5" cm="1">
        <f t="array" ref="K124">ROUND(H124*I124,0)</f>
        <v>213</v>
      </c>
      <c r="L124" s="5" cm="1">
        <f t="array" ref="L124">K124*J124</f>
        <v>260925</v>
      </c>
      <c r="M124" s="5">
        <v>9738</v>
      </c>
      <c r="N124" s="5" cm="1">
        <f t="array" ref="N124">D124*M124</f>
        <v>0</v>
      </c>
      <c r="O124" t="s" s="4">
        <v>18</v>
      </c>
    </row>
    <row r="125" ht="15" customHeight="1">
      <c r="A125" t="s" s="3">
        <v>182</v>
      </c>
      <c r="B125" t="s" s="4">
        <v>179</v>
      </c>
      <c r="C125" s="5">
        <v>1163</v>
      </c>
      <c r="D125" s="5">
        <v>0</v>
      </c>
      <c r="E125" s="5">
        <v>345</v>
      </c>
      <c r="F125" s="6">
        <v>0</v>
      </c>
      <c r="G125" t="s" s="3">
        <v>59</v>
      </c>
      <c r="H125" s="5">
        <v>930</v>
      </c>
      <c r="I125" s="7">
        <v>0.18</v>
      </c>
      <c r="J125" s="5">
        <v>1264</v>
      </c>
      <c r="K125" s="5" cm="1">
        <f t="array" ref="K125">ROUND(H125*I125,0)</f>
        <v>167</v>
      </c>
      <c r="L125" s="5" cm="1">
        <f t="array" ref="L125">K125*J125</f>
        <v>211088</v>
      </c>
      <c r="M125" s="5">
        <v>9738</v>
      </c>
      <c r="N125" s="5" cm="1">
        <f t="array" ref="N125">D125*M125</f>
        <v>0</v>
      </c>
      <c r="O125" t="s" s="4">
        <v>18</v>
      </c>
    </row>
    <row r="126" ht="15" customHeight="1">
      <c r="A126" t="s" s="3">
        <v>183</v>
      </c>
      <c r="B126" t="s" s="4">
        <v>179</v>
      </c>
      <c r="C126" s="5">
        <v>1198</v>
      </c>
      <c r="D126" s="5">
        <v>0</v>
      </c>
      <c r="E126" s="5">
        <v>345</v>
      </c>
      <c r="F126" s="6">
        <v>0</v>
      </c>
      <c r="G126" t="s" s="3">
        <v>83</v>
      </c>
      <c r="H126" s="5">
        <v>1437</v>
      </c>
      <c r="I126" s="7">
        <v>0.17</v>
      </c>
      <c r="J126" s="5">
        <v>1245</v>
      </c>
      <c r="K126" s="5" cm="1">
        <f t="array" ref="K126">ROUND(H126*I126,0)</f>
        <v>244</v>
      </c>
      <c r="L126" s="5" cm="1">
        <f t="array" ref="L126">K126*J126</f>
        <v>303780</v>
      </c>
      <c r="M126" s="5">
        <v>9975</v>
      </c>
      <c r="N126" s="5" cm="1">
        <f t="array" ref="N126">D126*M126</f>
        <v>0</v>
      </c>
      <c r="O126" t="s" s="4">
        <v>18</v>
      </c>
    </row>
    <row r="127" ht="15" customHeight="1">
      <c r="A127" t="s" s="3">
        <v>184</v>
      </c>
      <c r="B127" t="s" s="4">
        <v>179</v>
      </c>
      <c r="C127" s="5">
        <v>1061</v>
      </c>
      <c r="D127" s="5">
        <v>0</v>
      </c>
      <c r="E127" s="5">
        <v>345</v>
      </c>
      <c r="F127" s="6">
        <v>0</v>
      </c>
      <c r="G127" t="s" s="3">
        <v>130</v>
      </c>
      <c r="H127" s="5">
        <v>1061</v>
      </c>
      <c r="I127" s="7">
        <v>0.17</v>
      </c>
      <c r="J127" s="5">
        <v>1304</v>
      </c>
      <c r="K127" s="5" cm="1">
        <f t="array" ref="K127">ROUND(H127*I127,0)</f>
        <v>180</v>
      </c>
      <c r="L127" s="5" cm="1">
        <f t="array" ref="L127">K127*J127</f>
        <v>234720</v>
      </c>
      <c r="M127" s="5">
        <v>9975</v>
      </c>
      <c r="N127" s="5" cm="1">
        <f t="array" ref="N127">D127*M127</f>
        <v>0</v>
      </c>
      <c r="O127" t="s" s="4">
        <v>18</v>
      </c>
    </row>
    <row r="128" ht="15" customHeight="1">
      <c r="A128" t="s" s="3">
        <v>185</v>
      </c>
      <c r="B128" t="s" s="4">
        <v>179</v>
      </c>
      <c r="C128" s="5">
        <v>927</v>
      </c>
      <c r="D128" s="5">
        <v>0</v>
      </c>
      <c r="E128" s="5">
        <v>345</v>
      </c>
      <c r="F128" s="6">
        <v>0</v>
      </c>
      <c r="G128" t="s" s="3">
        <v>26</v>
      </c>
      <c r="H128" s="5">
        <v>1112</v>
      </c>
      <c r="I128" s="7">
        <v>0.19</v>
      </c>
      <c r="J128" s="5">
        <v>1320</v>
      </c>
      <c r="K128" s="5" cm="1">
        <f t="array" ref="K128">ROUND(H128*I128,0)</f>
        <v>211</v>
      </c>
      <c r="L128" s="5" cm="1">
        <f t="array" ref="L128">K128*J128</f>
        <v>278520</v>
      </c>
      <c r="M128" s="5">
        <v>10212</v>
      </c>
      <c r="N128" s="5" cm="1">
        <f t="array" ref="N128">D128*M128</f>
        <v>0</v>
      </c>
      <c r="O128" t="s" s="4">
        <v>18</v>
      </c>
    </row>
    <row r="129" ht="15" customHeight="1">
      <c r="A129" t="s" s="3">
        <v>186</v>
      </c>
      <c r="B129" t="s" s="4">
        <v>179</v>
      </c>
      <c r="C129" s="5">
        <v>1037</v>
      </c>
      <c r="D129" s="5">
        <v>0</v>
      </c>
      <c r="E129" s="5">
        <v>345</v>
      </c>
      <c r="F129" s="6">
        <v>0</v>
      </c>
      <c r="G129" t="s" s="3">
        <v>30</v>
      </c>
      <c r="H129" s="5">
        <v>1037</v>
      </c>
      <c r="I129" s="7">
        <v>0.2</v>
      </c>
      <c r="J129" s="5">
        <v>1333</v>
      </c>
      <c r="K129" s="5" cm="1">
        <f t="array" ref="K129">ROUND(H129*I129,0)</f>
        <v>207</v>
      </c>
      <c r="L129" s="5" cm="1">
        <f t="array" ref="L129">K129*J129</f>
        <v>275931</v>
      </c>
      <c r="M129" s="5">
        <v>10212</v>
      </c>
      <c r="N129" s="5" cm="1">
        <f t="array" ref="N129">D129*M129</f>
        <v>0</v>
      </c>
      <c r="O129" t="s" s="4">
        <v>18</v>
      </c>
    </row>
    <row r="130" ht="15" customHeight="1">
      <c r="A130" t="s" s="3">
        <v>187</v>
      </c>
      <c r="B130" t="s" s="4">
        <v>179</v>
      </c>
      <c r="C130" s="5">
        <v>907</v>
      </c>
      <c r="D130" s="5">
        <v>0</v>
      </c>
      <c r="E130" s="5">
        <v>345</v>
      </c>
      <c r="F130" s="6">
        <v>0</v>
      </c>
      <c r="G130" t="s" s="3">
        <v>30</v>
      </c>
      <c r="H130" s="5">
        <v>907</v>
      </c>
      <c r="I130" s="7">
        <v>0.18</v>
      </c>
      <c r="J130" s="5">
        <v>1374</v>
      </c>
      <c r="K130" s="5" cm="1">
        <f t="array" ref="K130">ROUND(H130*I130,0)</f>
        <v>163</v>
      </c>
      <c r="L130" s="5" cm="1">
        <f t="array" ref="L130">K130*J130</f>
        <v>223962</v>
      </c>
      <c r="M130" s="5">
        <v>10212</v>
      </c>
      <c r="N130" s="5" cm="1">
        <f t="array" ref="N130">D130*M130</f>
        <v>0</v>
      </c>
      <c r="O130" t="s" s="4">
        <v>18</v>
      </c>
    </row>
    <row r="131" ht="15" customHeight="1">
      <c r="A131" t="s" s="3">
        <v>188</v>
      </c>
      <c r="B131" t="s" s="4">
        <v>179</v>
      </c>
      <c r="C131" s="5">
        <v>1024</v>
      </c>
      <c r="D131" s="5">
        <v>0</v>
      </c>
      <c r="E131" s="5">
        <v>345</v>
      </c>
      <c r="F131" s="6">
        <v>0</v>
      </c>
      <c r="G131" t="s" s="3">
        <v>47</v>
      </c>
      <c r="H131" s="5">
        <v>819</v>
      </c>
      <c r="I131" s="7">
        <v>0.19</v>
      </c>
      <c r="J131" s="5">
        <v>1449</v>
      </c>
      <c r="K131" s="5" cm="1">
        <f t="array" ref="K131">ROUND(H131*I131,0)</f>
        <v>156</v>
      </c>
      <c r="L131" s="5" cm="1">
        <f t="array" ref="L131">K131*J131</f>
        <v>226044</v>
      </c>
      <c r="M131" s="5">
        <v>10450</v>
      </c>
      <c r="N131" s="5" cm="1">
        <f t="array" ref="N131">D131*M131</f>
        <v>0</v>
      </c>
      <c r="O131" t="s" s="4">
        <v>18</v>
      </c>
    </row>
    <row r="132" ht="15" customHeight="1">
      <c r="A132" t="s" s="13">
        <v>189</v>
      </c>
      <c r="B132" t="s" s="14">
        <v>179</v>
      </c>
      <c r="C132" s="15">
        <v>1070</v>
      </c>
      <c r="D132" s="15">
        <v>16</v>
      </c>
      <c r="E132" s="15">
        <v>345</v>
      </c>
      <c r="F132" s="16" cm="1">
        <f t="array" ref="F132">ROUND(D132/E132,1)</f>
        <v>0</v>
      </c>
      <c r="G132" t="s" s="13">
        <v>28</v>
      </c>
      <c r="H132" s="15">
        <v>856</v>
      </c>
      <c r="I132" s="17">
        <v>0.2</v>
      </c>
      <c r="J132" s="15">
        <v>1388</v>
      </c>
      <c r="K132" s="15" cm="1">
        <f t="array" ref="K132">ROUND(H132*I132,0)</f>
        <v>171</v>
      </c>
      <c r="L132" s="15" cm="1">
        <f t="array" ref="L132">K132*J132</f>
        <v>237348</v>
      </c>
      <c r="M132" s="15">
        <v>10450</v>
      </c>
      <c r="N132" s="15" cm="1">
        <f t="array" ref="N132">D132*M132</f>
        <v>167200</v>
      </c>
      <c r="O132" t="s" s="14">
        <v>40</v>
      </c>
    </row>
    <row r="133" ht="15" customHeight="1">
      <c r="A133" t="s" s="3">
        <v>190</v>
      </c>
      <c r="B133" t="s" s="4">
        <v>191</v>
      </c>
      <c r="C133" s="5">
        <v>92</v>
      </c>
      <c r="D133" s="5">
        <v>0</v>
      </c>
      <c r="E133" s="5">
        <v>25</v>
      </c>
      <c r="F133" s="6">
        <v>0</v>
      </c>
      <c r="G133" t="s" s="3">
        <v>61</v>
      </c>
      <c r="H133" s="5">
        <v>92</v>
      </c>
      <c r="I133" s="7">
        <v>0.54</v>
      </c>
      <c r="J133" s="5">
        <v>1139</v>
      </c>
      <c r="K133" s="5" cm="1">
        <f t="array" ref="K133">ROUND(H133*I133,0)</f>
        <v>50</v>
      </c>
      <c r="L133" s="5" cm="1">
        <f t="array" ref="L133">K133*J133</f>
        <v>56950</v>
      </c>
      <c r="M133" s="5">
        <v>24000</v>
      </c>
      <c r="N133" s="5" cm="1">
        <f t="array" ref="N133">D133*M133</f>
        <v>0</v>
      </c>
      <c r="O133" t="s" s="4">
        <v>18</v>
      </c>
    </row>
    <row r="134" ht="15" customHeight="1">
      <c r="A134" t="s" s="3">
        <v>192</v>
      </c>
      <c r="B134" t="s" s="4">
        <v>191</v>
      </c>
      <c r="C134" s="5">
        <v>100</v>
      </c>
      <c r="D134" s="5">
        <v>0</v>
      </c>
      <c r="E134" s="5">
        <v>25</v>
      </c>
      <c r="F134" s="6">
        <v>0</v>
      </c>
      <c r="G134" t="s" s="3">
        <v>45</v>
      </c>
      <c r="H134" s="5">
        <v>120</v>
      </c>
      <c r="I134" s="7">
        <v>0.57</v>
      </c>
      <c r="J134" s="5">
        <v>1178</v>
      </c>
      <c r="K134" s="5" cm="1">
        <f t="array" ref="K134">ROUND(H134*I134,0)</f>
        <v>68</v>
      </c>
      <c r="L134" s="5" cm="1">
        <f t="array" ref="L134">K134*J134</f>
        <v>80104</v>
      </c>
      <c r="M134" s="5">
        <v>24000</v>
      </c>
      <c r="N134" s="5" cm="1">
        <f t="array" ref="N134">D134*M134</f>
        <v>0</v>
      </c>
      <c r="O134" t="s" s="4">
        <v>18</v>
      </c>
    </row>
    <row r="135" ht="15" customHeight="1">
      <c r="A135" t="s" s="3">
        <v>193</v>
      </c>
      <c r="B135" t="s" s="4">
        <v>191</v>
      </c>
      <c r="C135" s="5">
        <v>120</v>
      </c>
      <c r="D135" s="5">
        <v>0</v>
      </c>
      <c r="E135" s="5">
        <v>25</v>
      </c>
      <c r="F135" s="6">
        <v>0</v>
      </c>
      <c r="G135" t="s" s="3">
        <v>102</v>
      </c>
      <c r="H135" s="5">
        <v>120</v>
      </c>
      <c r="I135" s="7">
        <v>0.6</v>
      </c>
      <c r="J135" s="5">
        <v>1330</v>
      </c>
      <c r="K135" s="5" cm="1">
        <f t="array" ref="K135">ROUND(H135*I135,0)</f>
        <v>72</v>
      </c>
      <c r="L135" s="5" cm="1">
        <f t="array" ref="L135">K135*J135</f>
        <v>95760</v>
      </c>
      <c r="M135" s="5">
        <v>24600</v>
      </c>
      <c r="N135" s="5" cm="1">
        <f t="array" ref="N135">D135*M135</f>
        <v>0</v>
      </c>
      <c r="O135" t="s" s="4">
        <v>18</v>
      </c>
    </row>
    <row r="136" ht="15" customHeight="1">
      <c r="A136" t="s" s="3">
        <v>194</v>
      </c>
      <c r="B136" t="s" s="4">
        <v>191</v>
      </c>
      <c r="C136" s="5">
        <v>101</v>
      </c>
      <c r="D136" s="5">
        <v>0</v>
      </c>
      <c r="E136" s="5">
        <v>25</v>
      </c>
      <c r="F136" s="6">
        <v>0</v>
      </c>
      <c r="G136" t="s" s="3">
        <v>130</v>
      </c>
      <c r="H136" s="5">
        <v>101</v>
      </c>
      <c r="I136" s="7">
        <v>0.58</v>
      </c>
      <c r="J136" s="5">
        <v>1347</v>
      </c>
      <c r="K136" s="5" cm="1">
        <f t="array" ref="K136">ROUND(H136*I136,0)</f>
        <v>59</v>
      </c>
      <c r="L136" s="5" cm="1">
        <f t="array" ref="L136">K136*J136</f>
        <v>79473</v>
      </c>
      <c r="M136" s="5">
        <v>24600</v>
      </c>
      <c r="N136" s="5" cm="1">
        <f t="array" ref="N136">D136*M136</f>
        <v>0</v>
      </c>
      <c r="O136" t="s" s="4">
        <v>18</v>
      </c>
    </row>
    <row r="137" ht="15" customHeight="1">
      <c r="A137" t="s" s="3">
        <v>195</v>
      </c>
      <c r="B137" t="s" s="4">
        <v>191</v>
      </c>
      <c r="C137" s="5">
        <v>92</v>
      </c>
      <c r="D137" s="5">
        <v>0</v>
      </c>
      <c r="E137" s="5">
        <v>25</v>
      </c>
      <c r="F137" s="6">
        <v>0</v>
      </c>
      <c r="G137" t="s" s="3">
        <v>26</v>
      </c>
      <c r="H137" s="5">
        <v>73</v>
      </c>
      <c r="I137" s="7">
        <v>0.61</v>
      </c>
      <c r="J137" s="5">
        <v>1285</v>
      </c>
      <c r="K137" s="5" cm="1">
        <f t="array" ref="K137">ROUND(H137*I137,0)</f>
        <v>45</v>
      </c>
      <c r="L137" s="5" cm="1">
        <f t="array" ref="L137">K137*J137</f>
        <v>57825</v>
      </c>
      <c r="M137" s="5">
        <v>25200</v>
      </c>
      <c r="N137" s="5" cm="1">
        <f t="array" ref="N137">D137*M137</f>
        <v>0</v>
      </c>
      <c r="O137" t="s" s="4">
        <v>18</v>
      </c>
    </row>
    <row r="138" ht="15" customHeight="1">
      <c r="A138" t="s" s="3">
        <v>196</v>
      </c>
      <c r="B138" t="s" s="4">
        <v>191</v>
      </c>
      <c r="C138" s="5">
        <v>126</v>
      </c>
      <c r="D138" s="5">
        <v>0</v>
      </c>
      <c r="E138" s="5">
        <v>25</v>
      </c>
      <c r="F138" s="6">
        <v>0</v>
      </c>
      <c r="G138" t="s" s="3">
        <v>26</v>
      </c>
      <c r="H138" s="5">
        <v>151</v>
      </c>
      <c r="I138" s="7">
        <v>0.59</v>
      </c>
      <c r="J138" s="5">
        <v>1312</v>
      </c>
      <c r="K138" s="5" cm="1">
        <f t="array" ref="K138">ROUND(H138*I138,0)</f>
        <v>89</v>
      </c>
      <c r="L138" s="5" cm="1">
        <f t="array" ref="L138">K138*J138</f>
        <v>116768</v>
      </c>
      <c r="M138" s="5">
        <v>25200</v>
      </c>
      <c r="N138" s="5" cm="1">
        <f t="array" ref="N138">D138*M138</f>
        <v>0</v>
      </c>
      <c r="O138" t="s" s="4">
        <v>18</v>
      </c>
    </row>
    <row r="139" ht="15" customHeight="1">
      <c r="A139" t="s" s="8">
        <v>197</v>
      </c>
      <c r="B139" t="s" s="9">
        <v>191</v>
      </c>
      <c r="C139" s="10">
        <v>120</v>
      </c>
      <c r="D139" s="10">
        <v>0</v>
      </c>
      <c r="E139" s="10">
        <v>0</v>
      </c>
      <c r="F139" s="11">
        <v>0</v>
      </c>
      <c r="G139" t="s" s="8">
        <v>34</v>
      </c>
      <c r="H139" s="10">
        <v>0</v>
      </c>
      <c r="I139" s="12">
        <v>0.6</v>
      </c>
      <c r="J139" s="10">
        <v>1308</v>
      </c>
      <c r="K139" s="10">
        <v>72</v>
      </c>
      <c r="L139" s="10" cm="1">
        <f t="array" ref="L139">K139*J139</f>
        <v>94176</v>
      </c>
      <c r="M139" s="10">
        <v>0</v>
      </c>
      <c r="N139" s="10" cm="1">
        <f t="array" ref="N139">D139*M139</f>
        <v>0</v>
      </c>
      <c r="O139" t="s" s="9">
        <v>198</v>
      </c>
    </row>
    <row r="140" ht="15" customHeight="1">
      <c r="A140" t="s" s="3">
        <v>199</v>
      </c>
      <c r="B140" t="s" s="4">
        <v>191</v>
      </c>
      <c r="C140" s="5">
        <v>111</v>
      </c>
      <c r="D140" s="5">
        <v>0</v>
      </c>
      <c r="E140" s="5">
        <v>25</v>
      </c>
      <c r="F140" s="6">
        <v>0</v>
      </c>
      <c r="G140" t="s" s="3">
        <v>49</v>
      </c>
      <c r="H140" s="5">
        <v>111</v>
      </c>
      <c r="I140" s="7">
        <v>0.5600000000000001</v>
      </c>
      <c r="J140" s="5">
        <v>1315</v>
      </c>
      <c r="K140" s="5" cm="1">
        <f t="array" ref="K140">ROUND(H140*I140,0)</f>
        <v>62</v>
      </c>
      <c r="L140" s="5" cm="1">
        <f t="array" ref="L140">K140*J140</f>
        <v>81530</v>
      </c>
      <c r="M140" s="5">
        <v>25800</v>
      </c>
      <c r="N140" s="5" cm="1">
        <f t="array" ref="N140">D140*M140</f>
        <v>0</v>
      </c>
      <c r="O140" t="s" s="4">
        <v>18</v>
      </c>
    </row>
    <row r="141" ht="15" customHeight="1">
      <c r="A141" t="s" s="3">
        <v>200</v>
      </c>
      <c r="B141" t="s" s="4">
        <v>191</v>
      </c>
      <c r="C141" s="5">
        <v>66</v>
      </c>
      <c r="D141" s="5">
        <v>0</v>
      </c>
      <c r="E141" s="5">
        <v>25</v>
      </c>
      <c r="F141" s="6">
        <v>0</v>
      </c>
      <c r="G141" t="s" s="3">
        <v>45</v>
      </c>
      <c r="H141" s="5">
        <v>79</v>
      </c>
      <c r="I141" s="7">
        <v>0.5600000000000001</v>
      </c>
      <c r="J141" s="5">
        <v>1375</v>
      </c>
      <c r="K141" s="5" cm="1">
        <f t="array" ref="K141">ROUND(H141*I141,0)</f>
        <v>44</v>
      </c>
      <c r="L141" s="5" cm="1">
        <f t="array" ref="L141">K141*J141</f>
        <v>60500</v>
      </c>
      <c r="M141" s="5">
        <v>25800</v>
      </c>
      <c r="N141" s="5" cm="1">
        <f t="array" ref="N141">D141*M141</f>
        <v>0</v>
      </c>
      <c r="O141" t="s" s="4">
        <v>18</v>
      </c>
    </row>
    <row r="142" ht="15" customHeight="1">
      <c r="A142" t="s" s="13">
        <v>201</v>
      </c>
      <c r="B142" t="s" s="14">
        <v>191</v>
      </c>
      <c r="C142" s="15">
        <v>83</v>
      </c>
      <c r="D142" s="15">
        <v>67</v>
      </c>
      <c r="E142" s="15">
        <v>25</v>
      </c>
      <c r="F142" s="16" cm="1">
        <f t="array" ref="F142">ROUND(D142/E142,1)</f>
        <v>2.7</v>
      </c>
      <c r="G142" t="s" s="13">
        <v>102</v>
      </c>
      <c r="H142" s="15">
        <v>83</v>
      </c>
      <c r="I142" s="17">
        <v>0.58</v>
      </c>
      <c r="J142" s="15">
        <v>1431</v>
      </c>
      <c r="K142" s="15" cm="1">
        <f t="array" ref="K142">ROUND(H142*I142,0)</f>
        <v>48</v>
      </c>
      <c r="L142" s="15" cm="1">
        <f t="array" ref="L142">K142*J142</f>
        <v>68688</v>
      </c>
      <c r="M142" s="15">
        <v>26400</v>
      </c>
      <c r="N142" s="15" cm="1">
        <f t="array" ref="N142">D142*M142</f>
        <v>1768800</v>
      </c>
      <c r="O142" t="s" s="14">
        <v>40</v>
      </c>
    </row>
    <row r="143" ht="15" customHeight="1">
      <c r="A143" t="s" s="13">
        <v>202</v>
      </c>
      <c r="B143" t="s" s="14">
        <v>191</v>
      </c>
      <c r="C143" s="15">
        <v>81</v>
      </c>
      <c r="D143" s="15">
        <v>54</v>
      </c>
      <c r="E143" s="15">
        <v>25</v>
      </c>
      <c r="F143" s="16" cm="1">
        <f t="array" ref="F143">ROUND(D143/E143,1)</f>
        <v>2.2</v>
      </c>
      <c r="G143" t="s" s="13">
        <v>79</v>
      </c>
      <c r="H143" s="15">
        <v>64</v>
      </c>
      <c r="I143" s="17">
        <v>0.7</v>
      </c>
      <c r="J143" s="15">
        <v>1455</v>
      </c>
      <c r="K143" s="15" cm="1">
        <f t="array" ref="K143">ROUND(H143*I143,0)</f>
        <v>45</v>
      </c>
      <c r="L143" s="15" cm="1">
        <f t="array" ref="L143">K143*J143</f>
        <v>65475</v>
      </c>
      <c r="M143" s="15">
        <v>26400</v>
      </c>
      <c r="N143" s="15" cm="1">
        <f t="array" ref="N143">D143*M143</f>
        <v>1425600</v>
      </c>
      <c r="O143" t="s" s="14">
        <v>40</v>
      </c>
    </row>
    <row r="144" ht="15" customHeight="1">
      <c r="A144" t="s" s="13">
        <v>203</v>
      </c>
      <c r="B144" t="s" s="14">
        <v>191</v>
      </c>
      <c r="C144" s="15">
        <v>85</v>
      </c>
      <c r="D144" s="15">
        <v>64</v>
      </c>
      <c r="E144" s="15">
        <v>25</v>
      </c>
      <c r="F144" s="16" cm="1">
        <f t="array" ref="F144">ROUND(D144/E144,1)</f>
        <v>2.6</v>
      </c>
      <c r="G144" t="s" s="13">
        <v>68</v>
      </c>
      <c r="H144" s="15">
        <v>68</v>
      </c>
      <c r="I144" s="17">
        <v>0.6</v>
      </c>
      <c r="J144" s="15">
        <v>1469</v>
      </c>
      <c r="K144" s="15" cm="1">
        <f t="array" ref="K144">ROUND(H144*I144,0)</f>
        <v>41</v>
      </c>
      <c r="L144" s="15" cm="1">
        <f t="array" ref="L144">K144*J144</f>
        <v>60229</v>
      </c>
      <c r="M144" s="15">
        <v>26400</v>
      </c>
      <c r="N144" s="15" cm="1">
        <f t="array" ref="N144">D144*M144</f>
        <v>1689600</v>
      </c>
      <c r="O144" t="s" s="14">
        <v>40</v>
      </c>
    </row>
    <row r="145" ht="15" customHeight="1">
      <c r="A145" t="s" s="3">
        <v>204</v>
      </c>
      <c r="B145" t="s" s="4">
        <v>205</v>
      </c>
      <c r="C145" s="5">
        <v>164</v>
      </c>
      <c r="D145" s="5">
        <v>0</v>
      </c>
      <c r="E145" s="5">
        <v>32</v>
      </c>
      <c r="F145" s="6">
        <v>0</v>
      </c>
      <c r="G145" t="s" s="3">
        <v>32</v>
      </c>
      <c r="H145" s="5">
        <v>164</v>
      </c>
      <c r="I145" s="7">
        <v>0.97</v>
      </c>
      <c r="J145" s="5">
        <v>1131</v>
      </c>
      <c r="K145" s="5" cm="1">
        <f t="array" ref="K145">ROUND(H145*I145,0)</f>
        <v>159</v>
      </c>
      <c r="L145" s="5" cm="1">
        <f t="array" ref="L145">K145*J145</f>
        <v>179829</v>
      </c>
      <c r="M145" s="5">
        <v>21000</v>
      </c>
      <c r="N145" s="5" cm="1">
        <f t="array" ref="N145">D145*M145</f>
        <v>0</v>
      </c>
      <c r="O145" t="s" s="4">
        <v>18</v>
      </c>
    </row>
    <row r="146" ht="15" customHeight="1">
      <c r="A146" t="s" s="3">
        <v>206</v>
      </c>
      <c r="B146" t="s" s="4">
        <v>205</v>
      </c>
      <c r="C146" s="5">
        <v>144</v>
      </c>
      <c r="D146" s="5">
        <v>0</v>
      </c>
      <c r="E146" s="5">
        <v>32</v>
      </c>
      <c r="F146" s="6">
        <v>0</v>
      </c>
      <c r="G146" t="s" s="3">
        <v>63</v>
      </c>
      <c r="H146" s="5">
        <v>115</v>
      </c>
      <c r="I146" s="7">
        <v>0.98</v>
      </c>
      <c r="J146" s="5">
        <v>1186</v>
      </c>
      <c r="K146" s="5" cm="1">
        <f t="array" ref="K146">ROUND(H146*I146,0)</f>
        <v>113</v>
      </c>
      <c r="L146" s="5" cm="1">
        <f t="array" ref="L146">K146*J146</f>
        <v>134018</v>
      </c>
      <c r="M146" s="5">
        <v>21000</v>
      </c>
      <c r="N146" s="5" cm="1">
        <f t="array" ref="N146">D146*M146</f>
        <v>0</v>
      </c>
      <c r="O146" t="s" s="4">
        <v>18</v>
      </c>
    </row>
    <row r="147" ht="15" customHeight="1">
      <c r="A147" t="s" s="3">
        <v>207</v>
      </c>
      <c r="B147" t="s" s="4">
        <v>205</v>
      </c>
      <c r="C147" s="5">
        <v>122</v>
      </c>
      <c r="D147" s="5">
        <v>0</v>
      </c>
      <c r="E147" s="5">
        <v>32</v>
      </c>
      <c r="F147" s="6">
        <v>0</v>
      </c>
      <c r="G147" t="s" s="3">
        <v>130</v>
      </c>
      <c r="H147" s="5">
        <v>97</v>
      </c>
      <c r="I147" s="7">
        <v>1</v>
      </c>
      <c r="J147" s="5">
        <v>1227</v>
      </c>
      <c r="K147" s="5" cm="1">
        <f t="array" ref="K147">ROUND(H147*I147,0)</f>
        <v>97</v>
      </c>
      <c r="L147" s="5" cm="1">
        <f t="array" ref="L147">K147*J147</f>
        <v>119019</v>
      </c>
      <c r="M147" s="5">
        <v>21525</v>
      </c>
      <c r="N147" s="5" cm="1">
        <f t="array" ref="N147">D147*M147</f>
        <v>0</v>
      </c>
      <c r="O147" t="s" s="4">
        <v>18</v>
      </c>
    </row>
    <row r="148" ht="15" customHeight="1">
      <c r="A148" t="s" s="3">
        <v>208</v>
      </c>
      <c r="B148" t="s" s="4">
        <v>205</v>
      </c>
      <c r="C148" s="5">
        <v>137</v>
      </c>
      <c r="D148" s="5">
        <v>0</v>
      </c>
      <c r="E148" s="5">
        <v>32</v>
      </c>
      <c r="F148" s="6">
        <v>0</v>
      </c>
      <c r="G148" t="s" s="3">
        <v>32</v>
      </c>
      <c r="H148" s="5">
        <v>109</v>
      </c>
      <c r="I148" s="7">
        <v>0.9399999999999999</v>
      </c>
      <c r="J148" s="5">
        <v>1253</v>
      </c>
      <c r="K148" s="5" cm="1">
        <f t="array" ref="K148">ROUND(H148*I148,0)</f>
        <v>102</v>
      </c>
      <c r="L148" s="5" cm="1">
        <f t="array" ref="L148">K148*J148</f>
        <v>127806</v>
      </c>
      <c r="M148" s="5">
        <v>21525</v>
      </c>
      <c r="N148" s="5" cm="1">
        <f t="array" ref="N148">D148*M148</f>
        <v>0</v>
      </c>
      <c r="O148" t="s" s="4">
        <v>18</v>
      </c>
    </row>
    <row r="149" ht="15" customHeight="1">
      <c r="A149" t="s" s="3">
        <v>209</v>
      </c>
      <c r="B149" t="s" s="4">
        <v>205</v>
      </c>
      <c r="C149" s="5">
        <v>167</v>
      </c>
      <c r="D149" s="5">
        <v>0</v>
      </c>
      <c r="E149" s="5">
        <v>32</v>
      </c>
      <c r="F149" s="6">
        <v>0</v>
      </c>
      <c r="G149" t="s" s="3">
        <v>28</v>
      </c>
      <c r="H149" s="5">
        <v>167</v>
      </c>
      <c r="I149" s="7">
        <v>1.07</v>
      </c>
      <c r="J149" s="5">
        <v>1276</v>
      </c>
      <c r="K149" s="5" cm="1">
        <f t="array" ref="K149">ROUND(H149*I149,0)</f>
        <v>179</v>
      </c>
      <c r="L149" s="5" cm="1">
        <f t="array" ref="L149">K149*J149</f>
        <v>228404</v>
      </c>
      <c r="M149" s="5">
        <v>22050</v>
      </c>
      <c r="N149" s="5" cm="1">
        <f t="array" ref="N149">D149*M149</f>
        <v>0</v>
      </c>
      <c r="O149" t="s" s="4">
        <v>18</v>
      </c>
    </row>
    <row r="150" ht="15" customHeight="1">
      <c r="A150" t="s" s="3">
        <v>210</v>
      </c>
      <c r="B150" t="s" s="4">
        <v>205</v>
      </c>
      <c r="C150" s="5">
        <v>94</v>
      </c>
      <c r="D150" s="5">
        <v>0</v>
      </c>
      <c r="E150" s="5">
        <v>32</v>
      </c>
      <c r="F150" s="6">
        <v>0</v>
      </c>
      <c r="G150" t="s" s="3">
        <v>61</v>
      </c>
      <c r="H150" s="5">
        <v>75</v>
      </c>
      <c r="I150" s="7">
        <v>1.06</v>
      </c>
      <c r="J150" s="5">
        <v>1331</v>
      </c>
      <c r="K150" s="5" cm="1">
        <f t="array" ref="K150">ROUND(H150*I150,0)</f>
        <v>80</v>
      </c>
      <c r="L150" s="5" cm="1">
        <f t="array" ref="L150">K150*J150</f>
        <v>106480</v>
      </c>
      <c r="M150" s="5">
        <v>22050</v>
      </c>
      <c r="N150" s="5" cm="1">
        <f t="array" ref="N150">D150*M150</f>
        <v>0</v>
      </c>
      <c r="O150" t="s" s="4">
        <v>18</v>
      </c>
    </row>
    <row r="151" ht="15" customHeight="1">
      <c r="A151" t="s" s="3">
        <v>211</v>
      </c>
      <c r="B151" t="s" s="4">
        <v>205</v>
      </c>
      <c r="C151" s="5">
        <v>154</v>
      </c>
      <c r="D151" s="5">
        <v>0</v>
      </c>
      <c r="E151" s="5">
        <v>32</v>
      </c>
      <c r="F151" s="6">
        <v>0</v>
      </c>
      <c r="G151" t="s" s="3">
        <v>68</v>
      </c>
      <c r="H151" s="5">
        <v>123</v>
      </c>
      <c r="I151" s="7">
        <v>1.12</v>
      </c>
      <c r="J151" s="5">
        <v>1299</v>
      </c>
      <c r="K151" s="5" cm="1">
        <f t="array" ref="K151">ROUND(H151*I151,0)</f>
        <v>138</v>
      </c>
      <c r="L151" s="5" cm="1">
        <f t="array" ref="L151">K151*J151</f>
        <v>179262</v>
      </c>
      <c r="M151" s="5">
        <v>22050</v>
      </c>
      <c r="N151" s="5" cm="1">
        <f t="array" ref="N151">D151*M151</f>
        <v>0</v>
      </c>
      <c r="O151" t="s" s="4">
        <v>18</v>
      </c>
    </row>
    <row r="152" ht="15" customHeight="1">
      <c r="A152" t="s" s="3">
        <v>212</v>
      </c>
      <c r="B152" t="s" s="4">
        <v>205</v>
      </c>
      <c r="C152" s="5">
        <v>118</v>
      </c>
      <c r="D152" s="5">
        <v>0</v>
      </c>
      <c r="E152" s="5">
        <v>32</v>
      </c>
      <c r="F152" s="6">
        <v>0</v>
      </c>
      <c r="G152" t="s" s="3">
        <v>61</v>
      </c>
      <c r="H152" s="5">
        <v>118</v>
      </c>
      <c r="I152" s="7">
        <v>1.06</v>
      </c>
      <c r="J152" s="5">
        <v>1375</v>
      </c>
      <c r="K152" s="5" cm="1">
        <f t="array" ref="K152">ROUND(H152*I152,0)</f>
        <v>125</v>
      </c>
      <c r="L152" s="5" cm="1">
        <f t="array" ref="L152">K152*J152</f>
        <v>171875</v>
      </c>
      <c r="M152" s="5">
        <v>22575</v>
      </c>
      <c r="N152" s="5" cm="1">
        <f t="array" ref="N152">D152*M152</f>
        <v>0</v>
      </c>
      <c r="O152" t="s" s="4">
        <v>18</v>
      </c>
    </row>
    <row r="153" ht="15" customHeight="1">
      <c r="A153" t="s" s="13">
        <v>213</v>
      </c>
      <c r="B153" t="s" s="14">
        <v>205</v>
      </c>
      <c r="C153" s="15">
        <v>87</v>
      </c>
      <c r="D153" s="15">
        <v>2</v>
      </c>
      <c r="E153" s="15">
        <v>32</v>
      </c>
      <c r="F153" s="16" cm="1">
        <f t="array" ref="F153">ROUND(D153/E153,1)</f>
        <v>0.1</v>
      </c>
      <c r="G153" t="s" s="13">
        <v>68</v>
      </c>
      <c r="H153" s="15">
        <v>69</v>
      </c>
      <c r="I153" s="17">
        <v>1.07</v>
      </c>
      <c r="J153" s="15">
        <v>1340</v>
      </c>
      <c r="K153" s="15" cm="1">
        <f t="array" ref="K153">ROUND(H153*I153,0)</f>
        <v>74</v>
      </c>
      <c r="L153" s="15" cm="1">
        <f t="array" ref="L153">K153*J153</f>
        <v>99160</v>
      </c>
      <c r="M153" s="15">
        <v>22575</v>
      </c>
      <c r="N153" s="15" cm="1">
        <f t="array" ref="N153">D153*M153</f>
        <v>45150</v>
      </c>
      <c r="O153" t="s" s="14">
        <v>40</v>
      </c>
    </row>
    <row r="154" ht="15" customHeight="1">
      <c r="A154" t="s" s="13">
        <v>214</v>
      </c>
      <c r="B154" t="s" s="14">
        <v>205</v>
      </c>
      <c r="C154" s="15">
        <v>126</v>
      </c>
      <c r="D154" s="15">
        <v>3</v>
      </c>
      <c r="E154" s="15">
        <v>32</v>
      </c>
      <c r="F154" s="16" cm="1">
        <f t="array" ref="F154">ROUND(D154/E154,1)</f>
        <v>0.1</v>
      </c>
      <c r="G154" t="s" s="13">
        <v>95</v>
      </c>
      <c r="H154" s="15">
        <v>100</v>
      </c>
      <c r="I154" s="17">
        <v>1.05</v>
      </c>
      <c r="J154" s="15">
        <v>1398</v>
      </c>
      <c r="K154" s="15" cm="1">
        <f t="array" ref="K154">ROUND(H154*I154,0)</f>
        <v>105</v>
      </c>
      <c r="L154" s="15" cm="1">
        <f t="array" ref="L154">K154*J154</f>
        <v>146790</v>
      </c>
      <c r="M154" s="15">
        <v>22575</v>
      </c>
      <c r="N154" s="15" cm="1">
        <f t="array" ref="N154">D154*M154</f>
        <v>67725</v>
      </c>
      <c r="O154" t="s" s="14">
        <v>40</v>
      </c>
    </row>
    <row r="155" ht="15" customHeight="1">
      <c r="A155" t="s" s="13">
        <v>215</v>
      </c>
      <c r="B155" t="s" s="14">
        <v>205</v>
      </c>
      <c r="C155" s="15">
        <v>120</v>
      </c>
      <c r="D155" s="15">
        <v>12</v>
      </c>
      <c r="E155" s="15">
        <v>32</v>
      </c>
      <c r="F155" s="16" cm="1">
        <f t="array" ref="F155">ROUND(D155/E155,1)</f>
        <v>0.4</v>
      </c>
      <c r="G155" t="s" s="13">
        <v>49</v>
      </c>
      <c r="H155" s="15">
        <v>120</v>
      </c>
      <c r="I155" s="17">
        <v>1.12</v>
      </c>
      <c r="J155" s="15">
        <v>1451</v>
      </c>
      <c r="K155" s="15" cm="1">
        <f t="array" ref="K155">ROUND(H155*I155,0)</f>
        <v>134</v>
      </c>
      <c r="L155" s="15" cm="1">
        <f t="array" ref="L155">K155*J155</f>
        <v>194434</v>
      </c>
      <c r="M155" s="15">
        <v>23100</v>
      </c>
      <c r="N155" s="15" cm="1">
        <f t="array" ref="N155">D155*M155</f>
        <v>277200</v>
      </c>
      <c r="O155" t="s" s="14">
        <v>40</v>
      </c>
    </row>
    <row r="156" ht="15" customHeight="1">
      <c r="A156" t="s" s="13">
        <v>216</v>
      </c>
      <c r="B156" t="s" s="14">
        <v>205</v>
      </c>
      <c r="C156" s="15">
        <v>97</v>
      </c>
      <c r="D156" s="15">
        <v>3</v>
      </c>
      <c r="E156" s="15">
        <v>32</v>
      </c>
      <c r="F156" s="16" cm="1">
        <f t="array" ref="F156">ROUND(D156/E156,1)</f>
        <v>0.1</v>
      </c>
      <c r="G156" t="s" s="13">
        <v>24</v>
      </c>
      <c r="H156" s="15">
        <v>116</v>
      </c>
      <c r="I156" s="17">
        <v>1.11</v>
      </c>
      <c r="J156" s="15">
        <v>1441</v>
      </c>
      <c r="K156" s="15" cm="1">
        <f t="array" ref="K156">ROUND(H156*I156,0)</f>
        <v>129</v>
      </c>
      <c r="L156" s="15" cm="1">
        <f t="array" ref="L156">K156*J156</f>
        <v>185889</v>
      </c>
      <c r="M156" s="15">
        <v>23100</v>
      </c>
      <c r="N156" s="15" cm="1">
        <f t="array" ref="N156">D156*M156</f>
        <v>69300</v>
      </c>
      <c r="O156" t="s" s="14">
        <v>40</v>
      </c>
    </row>
    <row r="157" ht="15" customHeight="1">
      <c r="A157" t="s" s="13">
        <v>217</v>
      </c>
      <c r="B157" t="s" s="14">
        <v>205</v>
      </c>
      <c r="C157" s="15">
        <v>106</v>
      </c>
      <c r="D157" s="15">
        <v>79</v>
      </c>
      <c r="E157" s="15">
        <v>32</v>
      </c>
      <c r="F157" s="16" cm="1">
        <f t="array" ref="F157">ROUND(D157/E157,1)</f>
        <v>2.5</v>
      </c>
      <c r="G157" t="s" s="13">
        <v>24</v>
      </c>
      <c r="H157" s="15">
        <v>106</v>
      </c>
      <c r="I157" s="17">
        <v>1.06</v>
      </c>
      <c r="J157" s="15">
        <v>1390</v>
      </c>
      <c r="K157" s="15" cm="1">
        <f t="array" ref="K157">ROUND(H157*I157,0)</f>
        <v>112</v>
      </c>
      <c r="L157" s="15" cm="1">
        <f t="array" ref="L157">K157*J157</f>
        <v>155680</v>
      </c>
      <c r="M157" s="15">
        <v>23100</v>
      </c>
      <c r="N157" s="15" cm="1">
        <f t="array" ref="N157">D157*M157</f>
        <v>1824900</v>
      </c>
      <c r="O157" t="s" s="14">
        <v>40</v>
      </c>
    </row>
    <row r="158" ht="15" customHeight="1">
      <c r="A158" t="s" s="13">
        <v>218</v>
      </c>
      <c r="B158" t="s" s="14">
        <v>205</v>
      </c>
      <c r="C158" s="15">
        <v>138</v>
      </c>
      <c r="D158" s="15">
        <v>62</v>
      </c>
      <c r="E158" s="15">
        <v>32</v>
      </c>
      <c r="F158" s="16" cm="1">
        <f t="array" ref="F158">ROUND(D158/E158,1)</f>
        <v>1.9</v>
      </c>
      <c r="G158" t="s" s="13">
        <v>102</v>
      </c>
      <c r="H158" s="15">
        <v>165</v>
      </c>
      <c r="I158" s="17">
        <v>1.05</v>
      </c>
      <c r="J158" s="15">
        <v>1465</v>
      </c>
      <c r="K158" s="15" cm="1">
        <f t="array" ref="K158">ROUND(H158*I158,0)</f>
        <v>173</v>
      </c>
      <c r="L158" s="15" cm="1">
        <f t="array" ref="L158">K158*J158</f>
        <v>253445</v>
      </c>
      <c r="M158" s="15">
        <v>23625</v>
      </c>
      <c r="N158" s="15" cm="1">
        <f t="array" ref="N158">D158*M158</f>
        <v>1464750</v>
      </c>
      <c r="O158" t="s" s="14">
        <v>40</v>
      </c>
    </row>
    <row r="159" ht="15" customHeight="1">
      <c r="A159" t="s" s="3">
        <v>219</v>
      </c>
      <c r="B159" t="s" s="4">
        <v>220</v>
      </c>
      <c r="C159" s="5">
        <v>75</v>
      </c>
      <c r="D159" s="5">
        <v>0</v>
      </c>
      <c r="E159" s="5">
        <v>9</v>
      </c>
      <c r="F159" s="6">
        <v>0</v>
      </c>
      <c r="G159" t="s" s="3">
        <v>51</v>
      </c>
      <c r="H159" s="5">
        <v>75</v>
      </c>
      <c r="I159" s="7">
        <v>12.75</v>
      </c>
      <c r="J159" s="5">
        <v>1096</v>
      </c>
      <c r="K159" s="5" cm="1">
        <f t="array" ref="K159">ROUND(H159*I159,0)</f>
        <v>956</v>
      </c>
      <c r="L159" s="5" cm="1">
        <f t="array" ref="L159">K159*J159</f>
        <v>1047776</v>
      </c>
      <c r="M159" s="5">
        <v>65000</v>
      </c>
      <c r="N159" s="5" cm="1">
        <f t="array" ref="N159">D159*M159</f>
        <v>0</v>
      </c>
      <c r="O159" t="s" s="4">
        <v>18</v>
      </c>
    </row>
    <row r="160" ht="15" customHeight="1">
      <c r="A160" t="s" s="3">
        <v>221</v>
      </c>
      <c r="B160" t="s" s="4">
        <v>220</v>
      </c>
      <c r="C160" s="5">
        <v>65</v>
      </c>
      <c r="D160" s="5">
        <v>0</v>
      </c>
      <c r="E160" s="5">
        <v>9</v>
      </c>
      <c r="F160" s="6">
        <v>0</v>
      </c>
      <c r="G160" t="s" s="3">
        <v>17</v>
      </c>
      <c r="H160" s="5">
        <v>78</v>
      </c>
      <c r="I160" s="7">
        <v>12.94</v>
      </c>
      <c r="J160" s="5">
        <v>1116</v>
      </c>
      <c r="K160" s="5" cm="1">
        <f t="array" ref="K160">ROUND(H160*I160,0)</f>
        <v>1009</v>
      </c>
      <c r="L160" s="5" cm="1">
        <f t="array" ref="L160">K160*J160</f>
        <v>1126044</v>
      </c>
      <c r="M160" s="5">
        <v>65000</v>
      </c>
      <c r="N160" s="5" cm="1">
        <f t="array" ref="N160">D160*M160</f>
        <v>0</v>
      </c>
      <c r="O160" t="s" s="4">
        <v>18</v>
      </c>
    </row>
    <row r="161" ht="15" customHeight="1">
      <c r="A161" t="s" s="3">
        <v>222</v>
      </c>
      <c r="B161" t="s" s="4">
        <v>220</v>
      </c>
      <c r="C161" s="5">
        <v>79</v>
      </c>
      <c r="D161" s="5">
        <v>0</v>
      </c>
      <c r="E161" s="5">
        <v>9</v>
      </c>
      <c r="F161" s="6">
        <v>0</v>
      </c>
      <c r="G161" t="s" s="3">
        <v>37</v>
      </c>
      <c r="H161" s="5">
        <v>79</v>
      </c>
      <c r="I161" s="7">
        <v>12.3</v>
      </c>
      <c r="J161" s="5">
        <v>1128</v>
      </c>
      <c r="K161" s="5" cm="1">
        <f t="array" ref="K161">ROUND(H161*I161,0)</f>
        <v>972</v>
      </c>
      <c r="L161" s="5" cm="1">
        <f t="array" ref="L161">K161*J161</f>
        <v>1096416</v>
      </c>
      <c r="M161" s="5">
        <v>65000</v>
      </c>
      <c r="N161" s="5" cm="1">
        <f t="array" ref="N161">D161*M161</f>
        <v>0</v>
      </c>
      <c r="O161" t="s" s="4">
        <v>18</v>
      </c>
    </row>
    <row r="162" ht="15" customHeight="1">
      <c r="A162" t="s" s="3">
        <v>223</v>
      </c>
      <c r="B162" t="s" s="4">
        <v>220</v>
      </c>
      <c r="C162" s="5">
        <v>52</v>
      </c>
      <c r="D162" s="5">
        <v>0</v>
      </c>
      <c r="E162" s="5">
        <v>9</v>
      </c>
      <c r="F162" s="6">
        <v>0</v>
      </c>
      <c r="G162" t="s" s="3">
        <v>79</v>
      </c>
      <c r="H162" s="5">
        <v>62</v>
      </c>
      <c r="I162" s="7">
        <v>12.72</v>
      </c>
      <c r="J162" s="5">
        <v>1199</v>
      </c>
      <c r="K162" s="5" cm="1">
        <f t="array" ref="K162">ROUND(H162*I162,0)</f>
        <v>789</v>
      </c>
      <c r="L162" s="5" cm="1">
        <f t="array" ref="L162">K162*J162</f>
        <v>946011</v>
      </c>
      <c r="M162" s="5">
        <v>66625</v>
      </c>
      <c r="N162" s="5" cm="1">
        <f t="array" ref="N162">D162*M162</f>
        <v>0</v>
      </c>
      <c r="O162" t="s" s="4">
        <v>18</v>
      </c>
    </row>
    <row r="163" ht="15" customHeight="1">
      <c r="A163" t="s" s="3">
        <v>224</v>
      </c>
      <c r="B163" t="s" s="4">
        <v>220</v>
      </c>
      <c r="C163" s="5">
        <v>71</v>
      </c>
      <c r="D163" s="5">
        <v>0</v>
      </c>
      <c r="E163" s="5">
        <v>9</v>
      </c>
      <c r="F163" s="6">
        <v>0</v>
      </c>
      <c r="G163" t="s" s="3">
        <v>24</v>
      </c>
      <c r="H163" s="5">
        <v>71</v>
      </c>
      <c r="I163" s="7">
        <v>13.42</v>
      </c>
      <c r="J163" s="5">
        <v>1303</v>
      </c>
      <c r="K163" s="5" cm="1">
        <f t="array" ref="K163">ROUND(H163*I163,0)</f>
        <v>953</v>
      </c>
      <c r="L163" s="5" cm="1">
        <f t="array" ref="L163">K163*J163</f>
        <v>1241759</v>
      </c>
      <c r="M163" s="5">
        <v>66625</v>
      </c>
      <c r="N163" s="5" cm="1">
        <f t="array" ref="N163">D163*M163</f>
        <v>0</v>
      </c>
      <c r="O163" t="s" s="4">
        <v>18</v>
      </c>
    </row>
    <row r="164" ht="15" customHeight="1">
      <c r="A164" t="s" s="3">
        <v>225</v>
      </c>
      <c r="B164" t="s" s="4">
        <v>220</v>
      </c>
      <c r="C164" s="5">
        <v>56</v>
      </c>
      <c r="D164" s="5">
        <v>0</v>
      </c>
      <c r="E164" s="5">
        <v>9</v>
      </c>
      <c r="F164" s="6">
        <v>0</v>
      </c>
      <c r="G164" t="s" s="3">
        <v>28</v>
      </c>
      <c r="H164" s="5">
        <v>56</v>
      </c>
      <c r="I164" s="7">
        <v>13.16</v>
      </c>
      <c r="J164" s="5">
        <v>1244</v>
      </c>
      <c r="K164" s="5" cm="1">
        <f t="array" ref="K164">ROUND(H164*I164,0)</f>
        <v>737</v>
      </c>
      <c r="L164" s="5" cm="1">
        <f t="array" ref="L164">K164*J164</f>
        <v>916828</v>
      </c>
      <c r="M164" s="5">
        <v>68250</v>
      </c>
      <c r="N164" s="5" cm="1">
        <f t="array" ref="N164">D164*M164</f>
        <v>0</v>
      </c>
      <c r="O164" t="s" s="4">
        <v>18</v>
      </c>
    </row>
    <row r="165" ht="15" customHeight="1">
      <c r="A165" t="s" s="3">
        <v>226</v>
      </c>
      <c r="B165" t="s" s="4">
        <v>220</v>
      </c>
      <c r="C165" s="5">
        <v>63</v>
      </c>
      <c r="D165" s="5">
        <v>0</v>
      </c>
      <c r="E165" s="5">
        <v>9</v>
      </c>
      <c r="F165" s="6">
        <v>0</v>
      </c>
      <c r="G165" t="s" s="3">
        <v>95</v>
      </c>
      <c r="H165" s="5">
        <v>63</v>
      </c>
      <c r="I165" s="7">
        <v>14.23</v>
      </c>
      <c r="J165" s="5">
        <v>1321</v>
      </c>
      <c r="K165" s="5" cm="1">
        <f t="array" ref="K165">ROUND(H165*I165,0)</f>
        <v>896</v>
      </c>
      <c r="L165" s="5" cm="1">
        <f t="array" ref="L165">K165*J165</f>
        <v>1183616</v>
      </c>
      <c r="M165" s="5">
        <v>68250</v>
      </c>
      <c r="N165" s="5" cm="1">
        <f t="array" ref="N165">D165*M165</f>
        <v>0</v>
      </c>
      <c r="O165" t="s" s="4">
        <v>18</v>
      </c>
    </row>
    <row r="166" ht="15" customHeight="1">
      <c r="A166" t="s" s="3">
        <v>227</v>
      </c>
      <c r="B166" t="s" s="4">
        <v>220</v>
      </c>
      <c r="C166" s="5">
        <v>60</v>
      </c>
      <c r="D166" s="5">
        <v>0</v>
      </c>
      <c r="E166" s="5">
        <v>9</v>
      </c>
      <c r="F166" s="6">
        <v>0</v>
      </c>
      <c r="G166" t="s" s="3">
        <v>45</v>
      </c>
      <c r="H166" s="5">
        <v>72</v>
      </c>
      <c r="I166" s="7">
        <v>14.91</v>
      </c>
      <c r="J166" s="5">
        <v>1329</v>
      </c>
      <c r="K166" s="5" cm="1">
        <f t="array" ref="K166">ROUND(H166*I166,0)</f>
        <v>1074</v>
      </c>
      <c r="L166" s="5" cm="1">
        <f t="array" ref="L166">K166*J166</f>
        <v>1427346</v>
      </c>
      <c r="M166" s="5">
        <v>68250</v>
      </c>
      <c r="N166" s="5" cm="1">
        <f t="array" ref="N166">D166*M166</f>
        <v>0</v>
      </c>
      <c r="O166" t="s" s="4">
        <v>18</v>
      </c>
    </row>
    <row r="167" ht="15" customHeight="1">
      <c r="A167" t="s" s="3">
        <v>228</v>
      </c>
      <c r="B167" t="s" s="4">
        <v>220</v>
      </c>
      <c r="C167" s="5">
        <v>66</v>
      </c>
      <c r="D167" s="5">
        <v>0</v>
      </c>
      <c r="E167" s="5">
        <v>9</v>
      </c>
      <c r="F167" s="6">
        <v>0</v>
      </c>
      <c r="G167" t="s" s="3">
        <v>51</v>
      </c>
      <c r="H167" s="5">
        <v>52</v>
      </c>
      <c r="I167" s="7">
        <v>13.59</v>
      </c>
      <c r="J167" s="5">
        <v>1318</v>
      </c>
      <c r="K167" s="5" cm="1">
        <f t="array" ref="K167">ROUND(H167*I167,0)</f>
        <v>707</v>
      </c>
      <c r="L167" s="5" cm="1">
        <f t="array" ref="L167">K167*J167</f>
        <v>931826</v>
      </c>
      <c r="M167" s="5">
        <v>69875</v>
      </c>
      <c r="N167" s="5" cm="1">
        <f t="array" ref="N167">D167*M167</f>
        <v>0</v>
      </c>
      <c r="O167" t="s" s="4">
        <v>18</v>
      </c>
    </row>
    <row r="168" ht="15" customHeight="1">
      <c r="A168" t="s" s="13">
        <v>229</v>
      </c>
      <c r="B168" t="s" s="14">
        <v>220</v>
      </c>
      <c r="C168" s="15">
        <v>61</v>
      </c>
      <c r="D168" s="15">
        <v>5</v>
      </c>
      <c r="E168" s="15">
        <v>9</v>
      </c>
      <c r="F168" s="16" cm="1">
        <f t="array" ref="F168">ROUND(D168/E168,1)</f>
        <v>0.6</v>
      </c>
      <c r="G168" t="s" s="13">
        <v>51</v>
      </c>
      <c r="H168" s="15">
        <v>73</v>
      </c>
      <c r="I168" s="17">
        <v>13.84</v>
      </c>
      <c r="J168" s="15">
        <v>1349</v>
      </c>
      <c r="K168" s="15" cm="1">
        <f t="array" ref="K168">ROUND(H168*I168,0)</f>
        <v>1010</v>
      </c>
      <c r="L168" s="15" cm="1">
        <f t="array" ref="L168">K168*J168</f>
        <v>1362490</v>
      </c>
      <c r="M168" s="15">
        <v>69875</v>
      </c>
      <c r="N168" s="15" cm="1">
        <f t="array" ref="N168">D168*M168</f>
        <v>349375</v>
      </c>
      <c r="O168" t="s" s="14">
        <v>40</v>
      </c>
    </row>
    <row r="169" ht="15" customHeight="1">
      <c r="A169" t="s" s="13">
        <v>230</v>
      </c>
      <c r="B169" t="s" s="14">
        <v>220</v>
      </c>
      <c r="C169" s="15">
        <v>50</v>
      </c>
      <c r="D169" s="15">
        <v>6</v>
      </c>
      <c r="E169" s="15">
        <v>9</v>
      </c>
      <c r="F169" s="16" cm="1">
        <f t="array" ref="F169">ROUND(D169/E169,1)</f>
        <v>0.7</v>
      </c>
      <c r="G169" t="s" s="13">
        <v>95</v>
      </c>
      <c r="H169" s="15">
        <v>60</v>
      </c>
      <c r="I169" s="17">
        <v>13.36</v>
      </c>
      <c r="J169" s="15">
        <v>1385</v>
      </c>
      <c r="K169" s="15" cm="1">
        <f t="array" ref="K169">ROUND(H169*I169,0)</f>
        <v>802</v>
      </c>
      <c r="L169" s="15" cm="1">
        <f t="array" ref="L169">K169*J169</f>
        <v>1110770</v>
      </c>
      <c r="M169" s="15">
        <v>71500</v>
      </c>
      <c r="N169" s="15" cm="1">
        <f t="array" ref="N169">D169*M169</f>
        <v>429000</v>
      </c>
      <c r="O169" t="s" s="14">
        <v>40</v>
      </c>
    </row>
    <row r="170" ht="15" customHeight="1">
      <c r="A170" t="s" s="13">
        <v>231</v>
      </c>
      <c r="B170" t="s" s="14">
        <v>220</v>
      </c>
      <c r="C170" s="15">
        <v>47</v>
      </c>
      <c r="D170" s="15">
        <v>22</v>
      </c>
      <c r="E170" s="15">
        <v>9</v>
      </c>
      <c r="F170" s="16" cm="1">
        <f t="array" ref="F170">ROUND(D170/E170,1)</f>
        <v>2.4</v>
      </c>
      <c r="G170" t="s" s="13">
        <v>22</v>
      </c>
      <c r="H170" s="15">
        <v>47</v>
      </c>
      <c r="I170" s="17">
        <v>15.43</v>
      </c>
      <c r="J170" s="15">
        <v>1388</v>
      </c>
      <c r="K170" s="15" cm="1">
        <f t="array" ref="K170">ROUND(H170*I170,0)</f>
        <v>725</v>
      </c>
      <c r="L170" s="15" cm="1">
        <f t="array" ref="L170">K170*J170</f>
        <v>1006300</v>
      </c>
      <c r="M170" s="15">
        <v>71500</v>
      </c>
      <c r="N170" s="15" cm="1">
        <f t="array" ref="N170">D170*M170</f>
        <v>1573000</v>
      </c>
      <c r="O170" t="s" s="14">
        <v>40</v>
      </c>
    </row>
    <row r="171" ht="15" customHeight="1">
      <c r="A171" t="s" s="13">
        <v>232</v>
      </c>
      <c r="B171" t="s" s="14">
        <v>220</v>
      </c>
      <c r="C171" s="15">
        <v>71</v>
      </c>
      <c r="D171" s="15">
        <v>31</v>
      </c>
      <c r="E171" s="15">
        <v>9</v>
      </c>
      <c r="F171" s="16" cm="1">
        <f t="array" ref="F171">ROUND(D171/E171,1)</f>
        <v>3.4</v>
      </c>
      <c r="G171" t="s" s="13">
        <v>20</v>
      </c>
      <c r="H171" s="15">
        <v>71</v>
      </c>
      <c r="I171" s="17">
        <v>14.38</v>
      </c>
      <c r="J171" s="15">
        <v>1459</v>
      </c>
      <c r="K171" s="15" cm="1">
        <f t="array" ref="K171">ROUND(H171*I171,0)</f>
        <v>1021</v>
      </c>
      <c r="L171" s="15" cm="1">
        <f t="array" ref="L171">K171*J171</f>
        <v>1489639</v>
      </c>
      <c r="M171" s="15">
        <v>71500</v>
      </c>
      <c r="N171" s="15" cm="1">
        <f t="array" ref="N171">D171*M171</f>
        <v>2216500</v>
      </c>
      <c r="O171" t="s" s="14">
        <v>40</v>
      </c>
    </row>
    <row r="172" ht="15" customHeight="1">
      <c r="A172" t="s" s="13">
        <v>233</v>
      </c>
      <c r="B172" t="s" s="14">
        <v>220</v>
      </c>
      <c r="C172" s="15">
        <v>54</v>
      </c>
      <c r="D172" s="15">
        <v>38</v>
      </c>
      <c r="E172" s="15">
        <v>9</v>
      </c>
      <c r="F172" s="16" cm="1">
        <f t="array" ref="F172">ROUND(D172/E172,1)</f>
        <v>4.2</v>
      </c>
      <c r="G172" t="s" s="13">
        <v>59</v>
      </c>
      <c r="H172" s="15">
        <v>64</v>
      </c>
      <c r="I172" s="17">
        <v>16.44</v>
      </c>
      <c r="J172" s="15">
        <v>1480</v>
      </c>
      <c r="K172" s="15" cm="1">
        <f t="array" ref="K172">ROUND(H172*I172,0)</f>
        <v>1052</v>
      </c>
      <c r="L172" s="15" cm="1">
        <f t="array" ref="L172">K172*J172</f>
        <v>1556960</v>
      </c>
      <c r="M172" s="15">
        <v>73125</v>
      </c>
      <c r="N172" s="15" cm="1">
        <f t="array" ref="N172">D172*M172</f>
        <v>2778750</v>
      </c>
      <c r="O172" t="s" s="14">
        <v>40</v>
      </c>
    </row>
    <row r="173" ht="15" customHeight="1">
      <c r="A173" t="s" s="3">
        <v>234</v>
      </c>
      <c r="B173" t="s" s="4">
        <v>235</v>
      </c>
      <c r="C173" s="5">
        <v>17</v>
      </c>
      <c r="D173" s="5">
        <v>0</v>
      </c>
      <c r="E173" s="5">
        <v>3</v>
      </c>
      <c r="F173" s="6">
        <v>0</v>
      </c>
      <c r="G173" t="s" s="3">
        <v>17</v>
      </c>
      <c r="H173" s="5">
        <v>20</v>
      </c>
      <c r="I173" s="7">
        <v>13.18</v>
      </c>
      <c r="J173" s="5">
        <v>1090</v>
      </c>
      <c r="K173" s="5" cm="1">
        <f t="array" ref="K173">ROUND(H173*I173,0)</f>
        <v>264</v>
      </c>
      <c r="L173" s="5" cm="1">
        <f t="array" ref="L173">K173*J173</f>
        <v>287760</v>
      </c>
      <c r="M173" s="5">
        <v>75000</v>
      </c>
      <c r="N173" s="5" cm="1">
        <f t="array" ref="N173">D173*M173</f>
        <v>0</v>
      </c>
      <c r="O173" t="s" s="4">
        <v>18</v>
      </c>
    </row>
    <row r="174" ht="15" customHeight="1">
      <c r="A174" t="s" s="3">
        <v>236</v>
      </c>
      <c r="B174" t="s" s="4">
        <v>235</v>
      </c>
      <c r="C174" s="5">
        <v>15</v>
      </c>
      <c r="D174" s="5">
        <v>0</v>
      </c>
      <c r="E174" s="5">
        <v>3</v>
      </c>
      <c r="F174" s="6">
        <v>0</v>
      </c>
      <c r="G174" t="s" s="3">
        <v>39</v>
      </c>
      <c r="H174" s="5">
        <v>18</v>
      </c>
      <c r="I174" s="7">
        <v>13.14</v>
      </c>
      <c r="J174" s="5">
        <v>1187</v>
      </c>
      <c r="K174" s="5" cm="1">
        <f t="array" ref="K174">ROUND(H174*I174,0)</f>
        <v>237</v>
      </c>
      <c r="L174" s="5" cm="1">
        <f t="array" ref="L174">K174*J174</f>
        <v>281319</v>
      </c>
      <c r="M174" s="5">
        <v>75000</v>
      </c>
      <c r="N174" s="5" cm="1">
        <f t="array" ref="N174">D174*M174</f>
        <v>0</v>
      </c>
      <c r="O174" t="s" s="4">
        <v>18</v>
      </c>
    </row>
    <row r="175" ht="15" customHeight="1">
      <c r="A175" t="s" s="3">
        <v>237</v>
      </c>
      <c r="B175" t="s" s="4">
        <v>235</v>
      </c>
      <c r="C175" s="5">
        <v>16</v>
      </c>
      <c r="D175" s="5">
        <v>0</v>
      </c>
      <c r="E175" s="5">
        <v>3</v>
      </c>
      <c r="F175" s="6">
        <v>0</v>
      </c>
      <c r="G175" t="s" s="3">
        <v>81</v>
      </c>
      <c r="H175" s="5">
        <v>16</v>
      </c>
      <c r="I175" s="7">
        <v>14.37</v>
      </c>
      <c r="J175" s="5">
        <v>1196</v>
      </c>
      <c r="K175" s="5" cm="1">
        <f t="array" ref="K175">ROUND(H175*I175,0)</f>
        <v>230</v>
      </c>
      <c r="L175" s="5" cm="1">
        <f t="array" ref="L175">K175*J175</f>
        <v>275080</v>
      </c>
      <c r="M175" s="5">
        <v>76875</v>
      </c>
      <c r="N175" s="5" cm="1">
        <f t="array" ref="N175">D175*M175</f>
        <v>0</v>
      </c>
      <c r="O175" t="s" s="4">
        <v>18</v>
      </c>
    </row>
    <row r="176" ht="15" customHeight="1">
      <c r="A176" t="s" s="3">
        <v>238</v>
      </c>
      <c r="B176" t="s" s="4">
        <v>235</v>
      </c>
      <c r="C176" s="5">
        <v>21</v>
      </c>
      <c r="D176" s="5">
        <v>0</v>
      </c>
      <c r="E176" s="5">
        <v>3</v>
      </c>
      <c r="F176" s="6">
        <v>0</v>
      </c>
      <c r="G176" t="s" s="3">
        <v>63</v>
      </c>
      <c r="H176" s="5">
        <v>25</v>
      </c>
      <c r="I176" s="7">
        <v>13.59</v>
      </c>
      <c r="J176" s="5">
        <v>1263</v>
      </c>
      <c r="K176" s="5" cm="1">
        <f t="array" ref="K176">ROUND(H176*I176,0)</f>
        <v>340</v>
      </c>
      <c r="L176" s="5" cm="1">
        <f t="array" ref="L176">K176*J176</f>
        <v>429420</v>
      </c>
      <c r="M176" s="5">
        <v>76875</v>
      </c>
      <c r="N176" s="5" cm="1">
        <f t="array" ref="N176">D176*M176</f>
        <v>0</v>
      </c>
      <c r="O176" t="s" s="4">
        <v>18</v>
      </c>
    </row>
    <row r="177" ht="15" customHeight="1">
      <c r="A177" t="s" s="3">
        <v>239</v>
      </c>
      <c r="B177" t="s" s="4">
        <v>235</v>
      </c>
      <c r="C177" s="5">
        <v>17</v>
      </c>
      <c r="D177" s="5">
        <v>0</v>
      </c>
      <c r="E177" s="5">
        <v>3</v>
      </c>
      <c r="F177" s="6">
        <v>0</v>
      </c>
      <c r="G177" t="s" s="3">
        <v>32</v>
      </c>
      <c r="H177" s="5">
        <v>17</v>
      </c>
      <c r="I177" s="7">
        <v>14.82</v>
      </c>
      <c r="J177" s="5">
        <v>1314</v>
      </c>
      <c r="K177" s="5" cm="1">
        <f t="array" ref="K177">ROUND(H177*I177,0)</f>
        <v>252</v>
      </c>
      <c r="L177" s="5" cm="1">
        <f t="array" ref="L177">K177*J177</f>
        <v>331128</v>
      </c>
      <c r="M177" s="5">
        <v>78750</v>
      </c>
      <c r="N177" s="5" cm="1">
        <f t="array" ref="N177">D177*M177</f>
        <v>0</v>
      </c>
      <c r="O177" t="s" s="4">
        <v>18</v>
      </c>
    </row>
    <row r="178" ht="15" customHeight="1">
      <c r="A178" t="s" s="3">
        <v>240</v>
      </c>
      <c r="B178" t="s" s="4">
        <v>235</v>
      </c>
      <c r="C178" s="5">
        <v>18</v>
      </c>
      <c r="D178" s="5">
        <v>0</v>
      </c>
      <c r="E178" s="5">
        <v>3</v>
      </c>
      <c r="F178" s="6">
        <v>0</v>
      </c>
      <c r="G178" t="s" s="3">
        <v>45</v>
      </c>
      <c r="H178" s="5">
        <v>21</v>
      </c>
      <c r="I178" s="7">
        <v>15.02</v>
      </c>
      <c r="J178" s="5">
        <v>1312</v>
      </c>
      <c r="K178" s="5" cm="1">
        <f t="array" ref="K178">ROUND(H178*I178,0)</f>
        <v>315</v>
      </c>
      <c r="L178" s="5" cm="1">
        <f t="array" ref="L178">K178*J178</f>
        <v>413280</v>
      </c>
      <c r="M178" s="5">
        <v>78750</v>
      </c>
      <c r="N178" s="5" cm="1">
        <f t="array" ref="N178">D178*M178</f>
        <v>0</v>
      </c>
      <c r="O178" t="s" s="4">
        <v>18</v>
      </c>
    </row>
    <row r="179" ht="15" customHeight="1">
      <c r="A179" t="s" s="8">
        <v>241</v>
      </c>
      <c r="B179" t="s" s="9">
        <v>235</v>
      </c>
      <c r="C179" s="10">
        <v>30</v>
      </c>
      <c r="D179" s="10">
        <v>0</v>
      </c>
      <c r="E179" s="10">
        <v>0</v>
      </c>
      <c r="F179" s="11">
        <v>0</v>
      </c>
      <c r="G179" t="s" s="8">
        <v>34</v>
      </c>
      <c r="H179" s="10">
        <v>0</v>
      </c>
      <c r="I179" s="12">
        <v>14.28</v>
      </c>
      <c r="J179" s="10">
        <v>1322</v>
      </c>
      <c r="K179" s="10">
        <v>428</v>
      </c>
      <c r="L179" s="10" cm="1">
        <f t="array" ref="L179">K179*J179</f>
        <v>565816</v>
      </c>
      <c r="M179" s="10">
        <v>0</v>
      </c>
      <c r="N179" s="10" cm="1">
        <f t="array" ref="N179">D179*M179</f>
        <v>0</v>
      </c>
      <c r="O179" t="s" s="9">
        <v>242</v>
      </c>
    </row>
    <row r="180" ht="15" customHeight="1">
      <c r="A180" t="s" s="3">
        <v>243</v>
      </c>
      <c r="B180" t="s" s="4">
        <v>235</v>
      </c>
      <c r="C180" s="5">
        <v>18</v>
      </c>
      <c r="D180" s="5">
        <v>0</v>
      </c>
      <c r="E180" s="5">
        <v>3</v>
      </c>
      <c r="F180" s="6">
        <v>0</v>
      </c>
      <c r="G180" t="s" s="3">
        <v>26</v>
      </c>
      <c r="H180" s="5">
        <v>14</v>
      </c>
      <c r="I180" s="7">
        <v>13.73</v>
      </c>
      <c r="J180" s="5">
        <v>1375</v>
      </c>
      <c r="K180" s="5" cm="1">
        <f t="array" ref="K180">ROUND(H180*I180,0)</f>
        <v>192</v>
      </c>
      <c r="L180" s="5" cm="1">
        <f t="array" ref="L180">K180*J180</f>
        <v>264000</v>
      </c>
      <c r="M180" s="5">
        <v>80625</v>
      </c>
      <c r="N180" s="5" cm="1">
        <f t="array" ref="N180">D180*M180</f>
        <v>0</v>
      </c>
      <c r="O180" t="s" s="4">
        <v>18</v>
      </c>
    </row>
    <row r="181" ht="15" customHeight="1">
      <c r="A181" t="s" s="3">
        <v>244</v>
      </c>
      <c r="B181" t="s" s="4">
        <v>235</v>
      </c>
      <c r="C181" s="5">
        <v>23</v>
      </c>
      <c r="D181" s="5">
        <v>0</v>
      </c>
      <c r="E181" s="5">
        <v>3</v>
      </c>
      <c r="F181" s="6">
        <v>0</v>
      </c>
      <c r="G181" t="s" s="3">
        <v>32</v>
      </c>
      <c r="H181" s="5">
        <v>27</v>
      </c>
      <c r="I181" s="7">
        <v>13.84</v>
      </c>
      <c r="J181" s="5">
        <v>1474</v>
      </c>
      <c r="K181" s="5" cm="1">
        <f t="array" ref="K181">ROUND(H181*I181,0)</f>
        <v>374</v>
      </c>
      <c r="L181" s="5" cm="1">
        <f t="array" ref="L181">K181*J181</f>
        <v>551276</v>
      </c>
      <c r="M181" s="5">
        <v>80625</v>
      </c>
      <c r="N181" s="5" cm="1">
        <f t="array" ref="N181">D181*M181</f>
        <v>0</v>
      </c>
      <c r="O181" t="s" s="4">
        <v>18</v>
      </c>
    </row>
    <row r="182" ht="15" customHeight="1">
      <c r="A182" t="s" s="13">
        <v>245</v>
      </c>
      <c r="B182" t="s" s="14">
        <v>235</v>
      </c>
      <c r="C182" s="15">
        <v>28</v>
      </c>
      <c r="D182" s="15">
        <v>3</v>
      </c>
      <c r="E182" s="15">
        <v>3</v>
      </c>
      <c r="F182" s="16" cm="1">
        <f t="array" ref="F182">ROUND(D182/E182,1)</f>
        <v>1</v>
      </c>
      <c r="G182" t="s" s="13">
        <v>30</v>
      </c>
      <c r="H182" s="15">
        <v>28</v>
      </c>
      <c r="I182" s="17">
        <v>15.28</v>
      </c>
      <c r="J182" s="15">
        <v>1388</v>
      </c>
      <c r="K182" s="15" cm="1">
        <f t="array" ref="K182">ROUND(H182*I182,0)</f>
        <v>428</v>
      </c>
      <c r="L182" s="15" cm="1">
        <f t="array" ref="L182">K182*J182</f>
        <v>594064</v>
      </c>
      <c r="M182" s="15">
        <v>82500</v>
      </c>
      <c r="N182" s="15" cm="1">
        <f t="array" ref="N182">D182*M182</f>
        <v>247500</v>
      </c>
      <c r="O182" t="s" s="14">
        <v>40</v>
      </c>
    </row>
    <row r="183" ht="15" customHeight="1">
      <c r="A183" t="s" s="13">
        <v>246</v>
      </c>
      <c r="B183" t="s" s="14">
        <v>235</v>
      </c>
      <c r="C183" s="15">
        <v>21</v>
      </c>
      <c r="D183" s="15">
        <v>14</v>
      </c>
      <c r="E183" s="15">
        <v>3</v>
      </c>
      <c r="F183" s="16" cm="1">
        <f t="array" ref="F183">ROUND(D183/E183,1)</f>
        <v>4.7</v>
      </c>
      <c r="G183" t="s" s="13">
        <v>24</v>
      </c>
      <c r="H183" s="15">
        <v>21</v>
      </c>
      <c r="I183" s="17">
        <v>15.11</v>
      </c>
      <c r="J183" s="15">
        <v>1454</v>
      </c>
      <c r="K183" s="15" cm="1">
        <f t="array" ref="K183">ROUND(H183*I183,0)</f>
        <v>317</v>
      </c>
      <c r="L183" s="15" cm="1">
        <f t="array" ref="L183">K183*J183</f>
        <v>460918</v>
      </c>
      <c r="M183" s="15">
        <v>82500</v>
      </c>
      <c r="N183" s="15" cm="1">
        <f t="array" ref="N183">D183*M183</f>
        <v>1155000</v>
      </c>
      <c r="O183" t="s" s="14">
        <v>40</v>
      </c>
    </row>
    <row r="184" ht="15" customHeight="1">
      <c r="A184" t="s" s="13">
        <v>247</v>
      </c>
      <c r="B184" t="s" s="14">
        <v>235</v>
      </c>
      <c r="C184" s="15">
        <v>24</v>
      </c>
      <c r="D184" s="15">
        <v>11</v>
      </c>
      <c r="E184" s="15">
        <v>3</v>
      </c>
      <c r="F184" s="16" cm="1">
        <f t="array" ref="F184">ROUND(D184/E184,1)</f>
        <v>3.7</v>
      </c>
      <c r="G184" t="s" s="13">
        <v>32</v>
      </c>
      <c r="H184" s="15">
        <v>19</v>
      </c>
      <c r="I184" s="17">
        <v>16.8</v>
      </c>
      <c r="J184" s="15">
        <v>1472</v>
      </c>
      <c r="K184" s="15" cm="1">
        <f t="array" ref="K184">ROUND(H184*I184,0)</f>
        <v>319</v>
      </c>
      <c r="L184" s="15" cm="1">
        <f t="array" ref="L184">K184*J184</f>
        <v>469568</v>
      </c>
      <c r="M184" s="15">
        <v>82500</v>
      </c>
      <c r="N184" s="15" cm="1">
        <f t="array" ref="N184">D184*M184</f>
        <v>907500</v>
      </c>
      <c r="O184" t="s" s="14">
        <v>40</v>
      </c>
    </row>
    <row r="185" ht="15" customHeight="1">
      <c r="A185" t="s" s="13">
        <v>248</v>
      </c>
      <c r="B185" t="s" s="14">
        <v>235</v>
      </c>
      <c r="C185" s="15">
        <v>29</v>
      </c>
      <c r="D185" s="15">
        <v>24</v>
      </c>
      <c r="E185" s="15">
        <v>3</v>
      </c>
      <c r="F185" s="16" cm="1">
        <f t="array" ref="F185">ROUND(D185/E185,1)</f>
        <v>8</v>
      </c>
      <c r="G185" t="s" s="13">
        <v>45</v>
      </c>
      <c r="H185" s="15">
        <v>29</v>
      </c>
      <c r="I185" s="17">
        <v>16.97</v>
      </c>
      <c r="J185" s="15">
        <v>1475</v>
      </c>
      <c r="K185" s="15" cm="1">
        <f t="array" ref="K185">ROUND(H185*I185,0)</f>
        <v>492</v>
      </c>
      <c r="L185" s="15" cm="1">
        <f t="array" ref="L185">K185*J185</f>
        <v>725700</v>
      </c>
      <c r="M185" s="15">
        <v>84375</v>
      </c>
      <c r="N185" s="15" cm="1">
        <f t="array" ref="N185">D185*M185</f>
        <v>2025000</v>
      </c>
      <c r="O185" t="s" s="14">
        <v>40</v>
      </c>
    </row>
    <row r="186" ht="15" customHeight="1">
      <c r="A186" t="s" s="3">
        <v>249</v>
      </c>
      <c r="B186" t="s" s="4">
        <v>250</v>
      </c>
      <c r="C186" s="5">
        <v>47</v>
      </c>
      <c r="D186" s="5">
        <v>0</v>
      </c>
      <c r="E186" s="5">
        <v>10</v>
      </c>
      <c r="F186" s="6">
        <v>0</v>
      </c>
      <c r="G186" t="s" s="3">
        <v>68</v>
      </c>
      <c r="H186" s="5">
        <v>56</v>
      </c>
      <c r="I186" s="7">
        <v>3.92</v>
      </c>
      <c r="J186" s="5">
        <v>1172</v>
      </c>
      <c r="K186" s="5" cm="1">
        <f t="array" ref="K186">ROUND(H186*I186,0)</f>
        <v>220</v>
      </c>
      <c r="L186" s="5" cm="1">
        <f t="array" ref="L186">K186*J186</f>
        <v>257840</v>
      </c>
      <c r="M186" s="5">
        <v>70000</v>
      </c>
      <c r="N186" s="5" cm="1">
        <f t="array" ref="N186">D186*M186</f>
        <v>0</v>
      </c>
      <c r="O186" t="s" s="4">
        <v>18</v>
      </c>
    </row>
    <row r="187" ht="15" customHeight="1">
      <c r="A187" t="s" s="3">
        <v>251</v>
      </c>
      <c r="B187" t="s" s="4">
        <v>250</v>
      </c>
      <c r="C187" s="5">
        <v>57</v>
      </c>
      <c r="D187" s="5">
        <v>0</v>
      </c>
      <c r="E187" s="5">
        <v>10</v>
      </c>
      <c r="F187" s="6">
        <v>0</v>
      </c>
      <c r="G187" t="s" s="3">
        <v>59</v>
      </c>
      <c r="H187" s="5">
        <v>57</v>
      </c>
      <c r="I187" s="7">
        <v>4.09</v>
      </c>
      <c r="J187" s="5">
        <v>1186</v>
      </c>
      <c r="K187" s="5" cm="1">
        <f t="array" ref="K187">ROUND(H187*I187,0)</f>
        <v>233</v>
      </c>
      <c r="L187" s="5" cm="1">
        <f t="array" ref="L187">K187*J187</f>
        <v>276338</v>
      </c>
      <c r="M187" s="5">
        <v>70000</v>
      </c>
      <c r="N187" s="5" cm="1">
        <f t="array" ref="N187">D187*M187</f>
        <v>0</v>
      </c>
      <c r="O187" t="s" s="4">
        <v>18</v>
      </c>
    </row>
    <row r="188" ht="15" customHeight="1">
      <c r="A188" t="s" s="3">
        <v>252</v>
      </c>
      <c r="B188" t="s" s="4">
        <v>250</v>
      </c>
      <c r="C188" s="5">
        <v>78</v>
      </c>
      <c r="D188" s="5">
        <v>0</v>
      </c>
      <c r="E188" s="5">
        <v>10</v>
      </c>
      <c r="F188" s="6">
        <v>0</v>
      </c>
      <c r="G188" t="s" s="3">
        <v>20</v>
      </c>
      <c r="H188" s="5">
        <v>78</v>
      </c>
      <c r="I188" s="7">
        <v>4.26</v>
      </c>
      <c r="J188" s="5">
        <v>1265</v>
      </c>
      <c r="K188" s="5" cm="1">
        <f t="array" ref="K188">ROUND(H188*I188,0)</f>
        <v>332</v>
      </c>
      <c r="L188" s="5" cm="1">
        <f t="array" ref="L188">K188*J188</f>
        <v>419980</v>
      </c>
      <c r="M188" s="5">
        <v>71750</v>
      </c>
      <c r="N188" s="5" cm="1">
        <f t="array" ref="N188">D188*M188</f>
        <v>0</v>
      </c>
      <c r="O188" t="s" s="4">
        <v>18</v>
      </c>
    </row>
    <row r="189" ht="15" customHeight="1">
      <c r="A189" t="s" s="3">
        <v>253</v>
      </c>
      <c r="B189" t="s" s="4">
        <v>250</v>
      </c>
      <c r="C189" s="5">
        <v>61</v>
      </c>
      <c r="D189" s="5">
        <v>0</v>
      </c>
      <c r="E189" s="5">
        <v>10</v>
      </c>
      <c r="F189" s="6">
        <v>0</v>
      </c>
      <c r="G189" t="s" s="3">
        <v>59</v>
      </c>
      <c r="H189" s="5">
        <v>48</v>
      </c>
      <c r="I189" s="7">
        <v>3.95</v>
      </c>
      <c r="J189" s="5">
        <v>1268</v>
      </c>
      <c r="K189" s="5" cm="1">
        <f t="array" ref="K189">ROUND(H189*I189,0)</f>
        <v>190</v>
      </c>
      <c r="L189" s="5" cm="1">
        <f t="array" ref="L189">K189*J189</f>
        <v>240920</v>
      </c>
      <c r="M189" s="5">
        <v>71750</v>
      </c>
      <c r="N189" s="5" cm="1">
        <f t="array" ref="N189">D189*M189</f>
        <v>0</v>
      </c>
      <c r="O189" t="s" s="4">
        <v>18</v>
      </c>
    </row>
    <row r="190" ht="15" customHeight="1">
      <c r="A190" t="s" s="3">
        <v>254</v>
      </c>
      <c r="B190" t="s" s="4">
        <v>250</v>
      </c>
      <c r="C190" s="5">
        <v>53</v>
      </c>
      <c r="D190" s="5">
        <v>0</v>
      </c>
      <c r="E190" s="5">
        <v>10</v>
      </c>
      <c r="F190" s="6">
        <v>0</v>
      </c>
      <c r="G190" t="s" s="3">
        <v>51</v>
      </c>
      <c r="H190" s="5">
        <v>42</v>
      </c>
      <c r="I190" s="7">
        <v>4.29</v>
      </c>
      <c r="J190" s="5">
        <v>1398</v>
      </c>
      <c r="K190" s="5" cm="1">
        <f t="array" ref="K190">ROUND(H190*I190,0)</f>
        <v>180</v>
      </c>
      <c r="L190" s="5" cm="1">
        <f t="array" ref="L190">K190*J190</f>
        <v>251640</v>
      </c>
      <c r="M190" s="5">
        <v>71750</v>
      </c>
      <c r="N190" s="5" cm="1">
        <f t="array" ref="N190">D190*M190</f>
        <v>0</v>
      </c>
      <c r="O190" t="s" s="4">
        <v>18</v>
      </c>
    </row>
    <row r="191" ht="15" customHeight="1">
      <c r="A191" t="s" s="3">
        <v>255</v>
      </c>
      <c r="B191" t="s" s="4">
        <v>250</v>
      </c>
      <c r="C191" s="5">
        <v>77</v>
      </c>
      <c r="D191" s="5">
        <v>0</v>
      </c>
      <c r="E191" s="5">
        <v>10</v>
      </c>
      <c r="F191" s="6">
        <v>0</v>
      </c>
      <c r="G191" t="s" s="3">
        <v>37</v>
      </c>
      <c r="H191" s="5">
        <v>61</v>
      </c>
      <c r="I191" s="7">
        <v>4.04</v>
      </c>
      <c r="J191" s="5">
        <v>1297</v>
      </c>
      <c r="K191" s="5" cm="1">
        <f t="array" ref="K191">ROUND(H191*I191,0)</f>
        <v>246</v>
      </c>
      <c r="L191" s="5" cm="1">
        <f t="array" ref="L191">K191*J191</f>
        <v>319062</v>
      </c>
      <c r="M191" s="5">
        <v>73500</v>
      </c>
      <c r="N191" s="5" cm="1">
        <f t="array" ref="N191">D191*M191</f>
        <v>0</v>
      </c>
      <c r="O191" t="s" s="4">
        <v>18</v>
      </c>
    </row>
    <row r="192" ht="15" customHeight="1">
      <c r="A192" t="s" s="3">
        <v>256</v>
      </c>
      <c r="B192" t="s" s="4">
        <v>250</v>
      </c>
      <c r="C192" s="5">
        <v>62</v>
      </c>
      <c r="D192" s="5">
        <v>0</v>
      </c>
      <c r="E192" s="5">
        <v>10</v>
      </c>
      <c r="F192" s="6">
        <v>0</v>
      </c>
      <c r="G192" t="s" s="3">
        <v>24</v>
      </c>
      <c r="H192" s="5">
        <v>62</v>
      </c>
      <c r="I192" s="7">
        <v>4.5</v>
      </c>
      <c r="J192" s="5">
        <v>1277</v>
      </c>
      <c r="K192" s="5" cm="1">
        <f t="array" ref="K192">ROUND(H192*I192,0)</f>
        <v>279</v>
      </c>
      <c r="L192" s="5" cm="1">
        <f t="array" ref="L192">K192*J192</f>
        <v>356283</v>
      </c>
      <c r="M192" s="5">
        <v>73500</v>
      </c>
      <c r="N192" s="5" cm="1">
        <f t="array" ref="N192">D192*M192</f>
        <v>0</v>
      </c>
      <c r="O192" t="s" s="4">
        <v>18</v>
      </c>
    </row>
    <row r="193" ht="15" customHeight="1">
      <c r="A193" t="s" s="13">
        <v>257</v>
      </c>
      <c r="B193" t="s" s="14">
        <v>250</v>
      </c>
      <c r="C193" s="15">
        <v>49</v>
      </c>
      <c r="D193" s="15">
        <v>4</v>
      </c>
      <c r="E193" s="15">
        <v>10</v>
      </c>
      <c r="F193" s="16" cm="1">
        <f t="array" ref="F193">ROUND(D193/E193,1)</f>
        <v>0.4</v>
      </c>
      <c r="G193" t="s" s="13">
        <v>20</v>
      </c>
      <c r="H193" s="15">
        <v>49</v>
      </c>
      <c r="I193" s="17">
        <v>3.96</v>
      </c>
      <c r="J193" s="15">
        <v>1340</v>
      </c>
      <c r="K193" s="15" cm="1">
        <f t="array" ref="K193">ROUND(H193*I193,0)</f>
        <v>194</v>
      </c>
      <c r="L193" s="15" cm="1">
        <f t="array" ref="L193">K193*J193</f>
        <v>259960</v>
      </c>
      <c r="M193" s="15">
        <v>75250</v>
      </c>
      <c r="N193" s="15" cm="1">
        <f t="array" ref="N193">D193*M193</f>
        <v>301000</v>
      </c>
      <c r="O193" t="s" s="14">
        <v>40</v>
      </c>
    </row>
    <row r="194" ht="15" customHeight="1">
      <c r="A194" t="s" s="13">
        <v>258</v>
      </c>
      <c r="B194" t="s" s="14">
        <v>250</v>
      </c>
      <c r="C194" s="15">
        <v>62</v>
      </c>
      <c r="D194" s="15">
        <v>2</v>
      </c>
      <c r="E194" s="15">
        <v>10</v>
      </c>
      <c r="F194" s="16" cm="1">
        <f t="array" ref="F194">ROUND(D194/E194,1)</f>
        <v>0.2</v>
      </c>
      <c r="G194" t="s" s="13">
        <v>32</v>
      </c>
      <c r="H194" s="15">
        <v>62</v>
      </c>
      <c r="I194" s="17">
        <v>4.17</v>
      </c>
      <c r="J194" s="15">
        <v>1378</v>
      </c>
      <c r="K194" s="15" cm="1">
        <f t="array" ref="K194">ROUND(H194*I194,0)</f>
        <v>259</v>
      </c>
      <c r="L194" s="15" cm="1">
        <f t="array" ref="L194">K194*J194</f>
        <v>356902</v>
      </c>
      <c r="M194" s="15">
        <v>75250</v>
      </c>
      <c r="N194" s="15" cm="1">
        <f t="array" ref="N194">D194*M194</f>
        <v>150500</v>
      </c>
      <c r="O194" t="s" s="14">
        <v>40</v>
      </c>
    </row>
    <row r="195" ht="15" customHeight="1">
      <c r="A195" t="s" s="13">
        <v>259</v>
      </c>
      <c r="B195" t="s" s="14">
        <v>250</v>
      </c>
      <c r="C195" s="15">
        <v>53</v>
      </c>
      <c r="D195" s="15">
        <v>2</v>
      </c>
      <c r="E195" s="15">
        <v>10</v>
      </c>
      <c r="F195" s="16" cm="1">
        <f t="array" ref="F195">ROUND(D195/E195,1)</f>
        <v>0.2</v>
      </c>
      <c r="G195" t="s" s="13">
        <v>59</v>
      </c>
      <c r="H195" s="15">
        <v>42</v>
      </c>
      <c r="I195" s="17">
        <v>4.62</v>
      </c>
      <c r="J195" s="15">
        <v>1397</v>
      </c>
      <c r="K195" s="15" cm="1">
        <f t="array" ref="K195">ROUND(H195*I195,0)</f>
        <v>194</v>
      </c>
      <c r="L195" s="15" cm="1">
        <f t="array" ref="L195">K195*J195</f>
        <v>271018</v>
      </c>
      <c r="M195" s="15">
        <v>75250</v>
      </c>
      <c r="N195" s="15" cm="1">
        <f t="array" ref="N195">D195*M195</f>
        <v>150500</v>
      </c>
      <c r="O195" t="s" s="14">
        <v>40</v>
      </c>
    </row>
    <row r="196" ht="15" customHeight="1">
      <c r="A196" t="s" s="13">
        <v>260</v>
      </c>
      <c r="B196" t="s" s="14">
        <v>250</v>
      </c>
      <c r="C196" s="15">
        <v>77</v>
      </c>
      <c r="D196" s="15">
        <v>10</v>
      </c>
      <c r="E196" s="15">
        <v>10</v>
      </c>
      <c r="F196" s="16" cm="1">
        <f t="array" ref="F196">ROUND(D196/E196,1)</f>
        <v>1</v>
      </c>
      <c r="G196" t="s" s="13">
        <v>37</v>
      </c>
      <c r="H196" s="15">
        <v>61</v>
      </c>
      <c r="I196" s="17">
        <v>4.21</v>
      </c>
      <c r="J196" s="15">
        <v>1461</v>
      </c>
      <c r="K196" s="15" cm="1">
        <f t="array" ref="K196">ROUND(H196*I196,0)</f>
        <v>257</v>
      </c>
      <c r="L196" s="15" cm="1">
        <f t="array" ref="L196">K196*J196</f>
        <v>375477</v>
      </c>
      <c r="M196" s="15">
        <v>77000</v>
      </c>
      <c r="N196" s="15" cm="1">
        <f t="array" ref="N196">D196*M196</f>
        <v>770000</v>
      </c>
      <c r="O196" t="s" s="14">
        <v>40</v>
      </c>
    </row>
    <row r="197" ht="15" customHeight="1">
      <c r="A197" t="s" s="13">
        <v>261</v>
      </c>
      <c r="B197" t="s" s="14">
        <v>250</v>
      </c>
      <c r="C197" s="15">
        <v>74</v>
      </c>
      <c r="D197" s="15">
        <v>4</v>
      </c>
      <c r="E197" s="15">
        <v>10</v>
      </c>
      <c r="F197" s="16" cm="1">
        <f t="array" ref="F197">ROUND(D197/E197,1)</f>
        <v>0.4</v>
      </c>
      <c r="G197" t="s" s="13">
        <v>20</v>
      </c>
      <c r="H197" s="15">
        <v>74</v>
      </c>
      <c r="I197" s="17">
        <v>4.29</v>
      </c>
      <c r="J197" s="15">
        <v>1465</v>
      </c>
      <c r="K197" s="15" cm="1">
        <f t="array" ref="K197">ROUND(H197*I197,0)</f>
        <v>317</v>
      </c>
      <c r="L197" s="15" cm="1">
        <f t="array" ref="L197">K197*J197</f>
        <v>464405</v>
      </c>
      <c r="M197" s="15">
        <v>77000</v>
      </c>
      <c r="N197" s="15" cm="1">
        <f t="array" ref="N197">D197*M197</f>
        <v>308000</v>
      </c>
      <c r="O197" t="s" s="14">
        <v>40</v>
      </c>
    </row>
    <row r="198" ht="15" customHeight="1">
      <c r="A198" t="s" s="13">
        <v>262</v>
      </c>
      <c r="B198" t="s" s="14">
        <v>250</v>
      </c>
      <c r="C198" s="15">
        <v>88</v>
      </c>
      <c r="D198" s="15">
        <v>6</v>
      </c>
      <c r="E198" s="15">
        <v>10</v>
      </c>
      <c r="F198" s="16" cm="1">
        <f t="array" ref="F198">ROUND(D198/E198,1)</f>
        <v>0.6</v>
      </c>
      <c r="G198" t="s" s="13">
        <v>68</v>
      </c>
      <c r="H198" s="15">
        <v>70</v>
      </c>
      <c r="I198" s="17">
        <v>4.32</v>
      </c>
      <c r="J198" s="15">
        <v>1395</v>
      </c>
      <c r="K198" s="15" cm="1">
        <f t="array" ref="K198">ROUND(H198*I198,0)</f>
        <v>302</v>
      </c>
      <c r="L198" s="15" cm="1">
        <f t="array" ref="L198">K198*J198</f>
        <v>421290</v>
      </c>
      <c r="M198" s="15">
        <v>77000</v>
      </c>
      <c r="N198" s="15" cm="1">
        <f t="array" ref="N198">D198*M198</f>
        <v>462000</v>
      </c>
      <c r="O198" t="s" s="14">
        <v>40</v>
      </c>
    </row>
    <row r="199" ht="15" customHeight="1">
      <c r="A199" t="s" s="3">
        <v>263</v>
      </c>
      <c r="B199" t="s" s="4">
        <v>264</v>
      </c>
      <c r="C199" s="5">
        <v>31</v>
      </c>
      <c r="D199" s="5">
        <v>0</v>
      </c>
      <c r="E199" s="5">
        <v>7</v>
      </c>
      <c r="F199" s="6">
        <v>0</v>
      </c>
      <c r="G199" t="s" s="3">
        <v>81</v>
      </c>
      <c r="H199" s="5">
        <v>31</v>
      </c>
      <c r="I199" s="7">
        <v>3.54</v>
      </c>
      <c r="J199" s="5">
        <v>1096</v>
      </c>
      <c r="K199" s="5" cm="1">
        <f t="array" ref="K199">ROUND(H199*I199,0)</f>
        <v>110</v>
      </c>
      <c r="L199" s="5" cm="1">
        <f t="array" ref="L199">K199*J199</f>
        <v>120560</v>
      </c>
      <c r="M199" s="5">
        <v>62000</v>
      </c>
      <c r="N199" s="5" cm="1">
        <f t="array" ref="N199">D199*M199</f>
        <v>0</v>
      </c>
      <c r="O199" t="s" s="4">
        <v>18</v>
      </c>
    </row>
    <row r="200" ht="15" customHeight="1">
      <c r="A200" t="s" s="3">
        <v>265</v>
      </c>
      <c r="B200" t="s" s="4">
        <v>264</v>
      </c>
      <c r="C200" s="5">
        <v>44</v>
      </c>
      <c r="D200" s="5">
        <v>0</v>
      </c>
      <c r="E200" s="5">
        <v>7</v>
      </c>
      <c r="F200" s="6">
        <v>0</v>
      </c>
      <c r="G200" t="s" s="3">
        <v>59</v>
      </c>
      <c r="H200" s="5">
        <v>44</v>
      </c>
      <c r="I200" s="7">
        <v>3.51</v>
      </c>
      <c r="J200" s="5">
        <v>1134</v>
      </c>
      <c r="K200" s="5" cm="1">
        <f t="array" ref="K200">ROUND(H200*I200,0)</f>
        <v>154</v>
      </c>
      <c r="L200" s="5" cm="1">
        <f t="array" ref="L200">K200*J200</f>
        <v>174636</v>
      </c>
      <c r="M200" s="5">
        <v>62000</v>
      </c>
      <c r="N200" s="5" cm="1">
        <f t="array" ref="N200">D200*M200</f>
        <v>0</v>
      </c>
      <c r="O200" t="s" s="4">
        <v>18</v>
      </c>
    </row>
    <row r="201" ht="15" customHeight="1">
      <c r="A201" t="s" s="3">
        <v>266</v>
      </c>
      <c r="B201" t="s" s="4">
        <v>264</v>
      </c>
      <c r="C201" s="5">
        <v>34</v>
      </c>
      <c r="D201" s="5">
        <v>0</v>
      </c>
      <c r="E201" s="5">
        <v>7</v>
      </c>
      <c r="F201" s="6">
        <v>0</v>
      </c>
      <c r="G201" t="s" s="3">
        <v>47</v>
      </c>
      <c r="H201" s="5">
        <v>40</v>
      </c>
      <c r="I201" s="7">
        <v>3.71</v>
      </c>
      <c r="J201" s="5">
        <v>1228</v>
      </c>
      <c r="K201" s="5" cm="1">
        <f t="array" ref="K201">ROUND(H201*I201,0)</f>
        <v>148</v>
      </c>
      <c r="L201" s="5" cm="1">
        <f t="array" ref="L201">K201*J201</f>
        <v>181744</v>
      </c>
      <c r="M201" s="5">
        <v>63550</v>
      </c>
      <c r="N201" s="5" cm="1">
        <f t="array" ref="N201">D201*M201</f>
        <v>0</v>
      </c>
      <c r="O201" t="s" s="4">
        <v>18</v>
      </c>
    </row>
    <row r="202" ht="15" customHeight="1">
      <c r="A202" t="s" s="3">
        <v>267</v>
      </c>
      <c r="B202" t="s" s="4">
        <v>264</v>
      </c>
      <c r="C202" s="5">
        <v>50</v>
      </c>
      <c r="D202" s="5">
        <v>0</v>
      </c>
      <c r="E202" s="5">
        <v>7</v>
      </c>
      <c r="F202" s="6">
        <v>0</v>
      </c>
      <c r="G202" t="s" s="3">
        <v>22</v>
      </c>
      <c r="H202" s="5">
        <v>40</v>
      </c>
      <c r="I202" s="7">
        <v>3.85</v>
      </c>
      <c r="J202" s="5">
        <v>1317</v>
      </c>
      <c r="K202" s="5" cm="1">
        <f t="array" ref="K202">ROUND(H202*I202,0)</f>
        <v>154</v>
      </c>
      <c r="L202" s="5" cm="1">
        <f t="array" ref="L202">K202*J202</f>
        <v>202818</v>
      </c>
      <c r="M202" s="5">
        <v>63550</v>
      </c>
      <c r="N202" s="5" cm="1">
        <f t="array" ref="N202">D202*M202</f>
        <v>0</v>
      </c>
      <c r="O202" t="s" s="4">
        <v>18</v>
      </c>
    </row>
    <row r="203" ht="15" customHeight="1">
      <c r="A203" t="s" s="3">
        <v>268</v>
      </c>
      <c r="B203" t="s" s="4">
        <v>264</v>
      </c>
      <c r="C203" s="5">
        <v>46</v>
      </c>
      <c r="D203" s="5">
        <v>0</v>
      </c>
      <c r="E203" s="5">
        <v>7</v>
      </c>
      <c r="F203" s="6">
        <v>0</v>
      </c>
      <c r="G203" t="s" s="3">
        <v>49</v>
      </c>
      <c r="H203" s="5">
        <v>36</v>
      </c>
      <c r="I203" s="7">
        <v>3.56</v>
      </c>
      <c r="J203" s="5">
        <v>1430</v>
      </c>
      <c r="K203" s="5" cm="1">
        <f t="array" ref="K203">ROUND(H203*I203,0)</f>
        <v>128</v>
      </c>
      <c r="L203" s="5" cm="1">
        <f t="array" ref="L203">K203*J203</f>
        <v>183040</v>
      </c>
      <c r="M203" s="5">
        <v>63550</v>
      </c>
      <c r="N203" s="5" cm="1">
        <f t="array" ref="N203">D203*M203</f>
        <v>0</v>
      </c>
      <c r="O203" t="s" s="4">
        <v>18</v>
      </c>
    </row>
    <row r="204" ht="15" customHeight="1">
      <c r="A204" t="s" s="3">
        <v>269</v>
      </c>
      <c r="B204" t="s" s="4">
        <v>264</v>
      </c>
      <c r="C204" s="5">
        <v>59</v>
      </c>
      <c r="D204" s="5">
        <v>0</v>
      </c>
      <c r="E204" s="5">
        <v>7</v>
      </c>
      <c r="F204" s="6">
        <v>0</v>
      </c>
      <c r="G204" t="s" s="3">
        <v>61</v>
      </c>
      <c r="H204" s="5">
        <v>59</v>
      </c>
      <c r="I204" s="7">
        <v>4.02</v>
      </c>
      <c r="J204" s="5">
        <v>1296</v>
      </c>
      <c r="K204" s="5" cm="1">
        <f t="array" ref="K204">ROUND(H204*I204,0)</f>
        <v>237</v>
      </c>
      <c r="L204" s="5" cm="1">
        <f t="array" ref="L204">K204*J204</f>
        <v>307152</v>
      </c>
      <c r="M204" s="5">
        <v>65100</v>
      </c>
      <c r="N204" s="5" cm="1">
        <f t="array" ref="N204">D204*M204</f>
        <v>0</v>
      </c>
      <c r="O204" t="s" s="4">
        <v>18</v>
      </c>
    </row>
    <row r="205" ht="15" customHeight="1">
      <c r="A205" t="s" s="3">
        <v>270</v>
      </c>
      <c r="B205" t="s" s="4">
        <v>264</v>
      </c>
      <c r="C205" s="5">
        <v>40</v>
      </c>
      <c r="D205" s="5">
        <v>0</v>
      </c>
      <c r="E205" s="5">
        <v>7</v>
      </c>
      <c r="F205" s="6">
        <v>0</v>
      </c>
      <c r="G205" t="s" s="3">
        <v>45</v>
      </c>
      <c r="H205" s="5">
        <v>40</v>
      </c>
      <c r="I205" s="7">
        <v>3.85</v>
      </c>
      <c r="J205" s="5">
        <v>1315</v>
      </c>
      <c r="K205" s="5" cm="1">
        <f t="array" ref="K205">ROUND(H205*I205,0)</f>
        <v>154</v>
      </c>
      <c r="L205" s="5" cm="1">
        <f t="array" ref="L205">K205*J205</f>
        <v>202510</v>
      </c>
      <c r="M205" s="5">
        <v>65100</v>
      </c>
      <c r="N205" s="5" cm="1">
        <f t="array" ref="N205">D205*M205</f>
        <v>0</v>
      </c>
      <c r="O205" t="s" s="4">
        <v>18</v>
      </c>
    </row>
    <row r="206" ht="15" customHeight="1">
      <c r="A206" t="s" s="3">
        <v>271</v>
      </c>
      <c r="B206" t="s" s="4">
        <v>264</v>
      </c>
      <c r="C206" s="5">
        <v>48</v>
      </c>
      <c r="D206" s="5">
        <v>0</v>
      </c>
      <c r="E206" s="5">
        <v>7</v>
      </c>
      <c r="F206" s="6">
        <v>0</v>
      </c>
      <c r="G206" t="s" s="3">
        <v>32</v>
      </c>
      <c r="H206" s="5">
        <v>48</v>
      </c>
      <c r="I206" s="7">
        <v>3.78</v>
      </c>
      <c r="J206" s="5">
        <v>1293</v>
      </c>
      <c r="K206" s="5" cm="1">
        <f t="array" ref="K206">ROUND(H206*I206,0)</f>
        <v>181</v>
      </c>
      <c r="L206" s="5" cm="1">
        <f t="array" ref="L206">K206*J206</f>
        <v>234033</v>
      </c>
      <c r="M206" s="5">
        <v>65100</v>
      </c>
      <c r="N206" s="5" cm="1">
        <f t="array" ref="N206">D206*M206</f>
        <v>0</v>
      </c>
      <c r="O206" t="s" s="4">
        <v>18</v>
      </c>
    </row>
    <row r="207" ht="15" customHeight="1">
      <c r="A207" t="s" s="3">
        <v>272</v>
      </c>
      <c r="B207" t="s" s="4">
        <v>264</v>
      </c>
      <c r="C207" s="5">
        <v>49</v>
      </c>
      <c r="D207" s="5">
        <v>0</v>
      </c>
      <c r="E207" s="5">
        <v>7</v>
      </c>
      <c r="F207" s="6">
        <v>0</v>
      </c>
      <c r="G207" t="s" s="3">
        <v>54</v>
      </c>
      <c r="H207" s="5">
        <v>49</v>
      </c>
      <c r="I207" s="7">
        <v>4.22</v>
      </c>
      <c r="J207" s="5">
        <v>1332</v>
      </c>
      <c r="K207" s="5" cm="1">
        <f t="array" ref="K207">ROUND(H207*I207,0)</f>
        <v>207</v>
      </c>
      <c r="L207" s="5" cm="1">
        <f t="array" ref="L207">K207*J207</f>
        <v>275724</v>
      </c>
      <c r="M207" s="5">
        <v>66650</v>
      </c>
      <c r="N207" s="5" cm="1">
        <f t="array" ref="N207">D207*M207</f>
        <v>0</v>
      </c>
      <c r="O207" t="s" s="4">
        <v>18</v>
      </c>
    </row>
    <row r="208" ht="15" customHeight="1">
      <c r="A208" t="s" s="13">
        <v>273</v>
      </c>
      <c r="B208" t="s" s="14">
        <v>264</v>
      </c>
      <c r="C208" s="15">
        <v>56</v>
      </c>
      <c r="D208" s="15">
        <v>3</v>
      </c>
      <c r="E208" s="15">
        <v>7</v>
      </c>
      <c r="F208" s="16" cm="1">
        <f t="array" ref="F208">ROUND(D208/E208,1)</f>
        <v>0.4</v>
      </c>
      <c r="G208" t="s" s="13">
        <v>59</v>
      </c>
      <c r="H208" s="15">
        <v>56</v>
      </c>
      <c r="I208" s="17">
        <v>3.74</v>
      </c>
      <c r="J208" s="15">
        <v>1327</v>
      </c>
      <c r="K208" s="15" cm="1">
        <f t="array" ref="K208">ROUND(H208*I208,0)</f>
        <v>209</v>
      </c>
      <c r="L208" s="15" cm="1">
        <f t="array" ref="L208">K208*J208</f>
        <v>277343</v>
      </c>
      <c r="M208" s="15">
        <v>66650</v>
      </c>
      <c r="N208" s="15" cm="1">
        <f t="array" ref="N208">D208*M208</f>
        <v>199950</v>
      </c>
      <c r="O208" t="s" s="14">
        <v>40</v>
      </c>
    </row>
    <row r="209" ht="15" customHeight="1">
      <c r="A209" t="s" s="13">
        <v>274</v>
      </c>
      <c r="B209" t="s" s="14">
        <v>264</v>
      </c>
      <c r="C209" s="15">
        <v>33</v>
      </c>
      <c r="D209" s="15">
        <v>2</v>
      </c>
      <c r="E209" s="15">
        <v>7</v>
      </c>
      <c r="F209" s="16" cm="1">
        <f t="array" ref="F209">ROUND(D209/E209,1)</f>
        <v>0.3</v>
      </c>
      <c r="G209" t="s" s="13">
        <v>22</v>
      </c>
      <c r="H209" s="15">
        <v>33</v>
      </c>
      <c r="I209" s="17">
        <v>3.93</v>
      </c>
      <c r="J209" s="15">
        <v>1461</v>
      </c>
      <c r="K209" s="15" cm="1">
        <f t="array" ref="K209">ROUND(H209*I209,0)</f>
        <v>130</v>
      </c>
      <c r="L209" s="15" cm="1">
        <f t="array" ref="L209">K209*J209</f>
        <v>189930</v>
      </c>
      <c r="M209" s="15">
        <v>68200</v>
      </c>
      <c r="N209" s="15" cm="1">
        <f t="array" ref="N209">D209*M209</f>
        <v>136400</v>
      </c>
      <c r="O209" t="s" s="14">
        <v>40</v>
      </c>
    </row>
    <row r="210" ht="15" customHeight="1">
      <c r="A210" t="s" s="13">
        <v>275</v>
      </c>
      <c r="B210" t="s" s="14">
        <v>264</v>
      </c>
      <c r="C210" s="15">
        <v>38</v>
      </c>
      <c r="D210" s="15">
        <v>3</v>
      </c>
      <c r="E210" s="15">
        <v>7</v>
      </c>
      <c r="F210" s="16" cm="1">
        <f t="array" ref="F210">ROUND(D210/E210,1)</f>
        <v>0.4</v>
      </c>
      <c r="G210" t="s" s="13">
        <v>102</v>
      </c>
      <c r="H210" s="15">
        <v>45</v>
      </c>
      <c r="I210" s="17">
        <v>4.29</v>
      </c>
      <c r="J210" s="15">
        <v>1446</v>
      </c>
      <c r="K210" s="15" cm="1">
        <f t="array" ref="K210">ROUND(H210*I210,0)</f>
        <v>193</v>
      </c>
      <c r="L210" s="15" cm="1">
        <f t="array" ref="L210">K210*J210</f>
        <v>279078</v>
      </c>
      <c r="M210" s="15">
        <v>68200</v>
      </c>
      <c r="N210" s="15" cm="1">
        <f t="array" ref="N210">D210*M210</f>
        <v>204600</v>
      </c>
      <c r="O210" t="s" s="14">
        <v>40</v>
      </c>
    </row>
    <row r="211" ht="15" customHeight="1">
      <c r="A211" t="s" s="13">
        <v>276</v>
      </c>
      <c r="B211" t="s" s="14">
        <v>264</v>
      </c>
      <c r="C211" s="15">
        <v>45</v>
      </c>
      <c r="D211" s="15">
        <v>19</v>
      </c>
      <c r="E211" s="15">
        <v>7</v>
      </c>
      <c r="F211" s="16" cm="1">
        <f t="array" ref="F211">ROUND(D211/E211,1)</f>
        <v>2.7</v>
      </c>
      <c r="G211" t="s" s="13">
        <v>57</v>
      </c>
      <c r="H211" s="15">
        <v>54</v>
      </c>
      <c r="I211" s="17">
        <v>4</v>
      </c>
      <c r="J211" s="15">
        <v>1471</v>
      </c>
      <c r="K211" s="15" cm="1">
        <f t="array" ref="K211">ROUND(H211*I211,0)</f>
        <v>216</v>
      </c>
      <c r="L211" s="15" cm="1">
        <f t="array" ref="L211">K211*J211</f>
        <v>317736</v>
      </c>
      <c r="M211" s="15">
        <v>69750</v>
      </c>
      <c r="N211" s="15" cm="1">
        <f t="array" ref="N211">D211*M211</f>
        <v>1325250</v>
      </c>
      <c r="O211" t="s" s="14">
        <v>40</v>
      </c>
    </row>
    <row r="212" ht="15" customHeight="1">
      <c r="A212" t="s" s="3">
        <v>277</v>
      </c>
      <c r="B212" t="s" s="4">
        <v>278</v>
      </c>
      <c r="C212" s="5">
        <v>234</v>
      </c>
      <c r="D212" s="5">
        <v>0</v>
      </c>
      <c r="E212" s="5">
        <v>67</v>
      </c>
      <c r="F212" s="6">
        <v>0</v>
      </c>
      <c r="G212" t="s" s="3">
        <v>28</v>
      </c>
      <c r="H212" s="5">
        <v>234</v>
      </c>
      <c r="I212" s="7">
        <v>0.33</v>
      </c>
      <c r="J212" s="5">
        <v>1118</v>
      </c>
      <c r="K212" s="5" cm="1">
        <f t="array" ref="K212">ROUND(H212*I212,0)</f>
        <v>77</v>
      </c>
      <c r="L212" s="5" cm="1">
        <f t="array" ref="L212">K212*J212</f>
        <v>86086</v>
      </c>
      <c r="M212" s="5">
        <v>13500</v>
      </c>
      <c r="N212" s="5" cm="1">
        <f t="array" ref="N212">D212*M212</f>
        <v>0</v>
      </c>
      <c r="O212" t="s" s="4">
        <v>18</v>
      </c>
    </row>
    <row r="213" ht="15" customHeight="1">
      <c r="A213" t="s" s="3">
        <v>279</v>
      </c>
      <c r="B213" t="s" s="4">
        <v>278</v>
      </c>
      <c r="C213" s="5">
        <v>227</v>
      </c>
      <c r="D213" s="5">
        <v>0</v>
      </c>
      <c r="E213" s="5">
        <v>67</v>
      </c>
      <c r="F213" s="6">
        <v>0</v>
      </c>
      <c r="G213" t="s" s="3">
        <v>32</v>
      </c>
      <c r="H213" s="5">
        <v>227</v>
      </c>
      <c r="I213" s="7">
        <v>0.33</v>
      </c>
      <c r="J213" s="5">
        <v>1115</v>
      </c>
      <c r="K213" s="5" cm="1">
        <f t="array" ref="K213">ROUND(H213*I213,0)</f>
        <v>75</v>
      </c>
      <c r="L213" s="5" cm="1">
        <f t="array" ref="L213">K213*J213</f>
        <v>83625</v>
      </c>
      <c r="M213" s="5">
        <v>13500</v>
      </c>
      <c r="N213" s="5" cm="1">
        <f t="array" ref="N213">D213*M213</f>
        <v>0</v>
      </c>
      <c r="O213" t="s" s="4">
        <v>18</v>
      </c>
    </row>
    <row r="214" ht="15" customHeight="1">
      <c r="A214" t="s" s="3">
        <v>280</v>
      </c>
      <c r="B214" t="s" s="4">
        <v>278</v>
      </c>
      <c r="C214" s="5">
        <v>281</v>
      </c>
      <c r="D214" s="5">
        <v>0</v>
      </c>
      <c r="E214" s="5">
        <v>67</v>
      </c>
      <c r="F214" s="6">
        <v>0</v>
      </c>
      <c r="G214" t="s" s="3">
        <v>66</v>
      </c>
      <c r="H214" s="5">
        <v>281</v>
      </c>
      <c r="I214" s="7">
        <v>0.35</v>
      </c>
      <c r="J214" s="5">
        <v>1182</v>
      </c>
      <c r="K214" s="5" cm="1">
        <f t="array" ref="K214">ROUND(H214*I214,0)</f>
        <v>98</v>
      </c>
      <c r="L214" s="5" cm="1">
        <f t="array" ref="L214">K214*J214</f>
        <v>115836</v>
      </c>
      <c r="M214" s="5">
        <v>13500</v>
      </c>
      <c r="N214" s="5" cm="1">
        <f t="array" ref="N214">D214*M214</f>
        <v>0</v>
      </c>
      <c r="O214" t="s" s="4">
        <v>18</v>
      </c>
    </row>
    <row r="215" ht="15" customHeight="1">
      <c r="A215" t="s" s="3">
        <v>281</v>
      </c>
      <c r="B215" t="s" s="4">
        <v>278</v>
      </c>
      <c r="C215" s="5">
        <v>253</v>
      </c>
      <c r="D215" s="5">
        <v>0</v>
      </c>
      <c r="E215" s="5">
        <v>67</v>
      </c>
      <c r="F215" s="6">
        <v>0</v>
      </c>
      <c r="G215" t="s" s="3">
        <v>45</v>
      </c>
      <c r="H215" s="5">
        <v>202</v>
      </c>
      <c r="I215" s="7">
        <v>0.33</v>
      </c>
      <c r="J215" s="5">
        <v>1208</v>
      </c>
      <c r="K215" s="5" cm="1">
        <f t="array" ref="K215">ROUND(H215*I215,0)</f>
        <v>67</v>
      </c>
      <c r="L215" s="5" cm="1">
        <f t="array" ref="L215">K215*J215</f>
        <v>80936</v>
      </c>
      <c r="M215" s="5">
        <v>13837</v>
      </c>
      <c r="N215" s="5" cm="1">
        <f t="array" ref="N215">D215*M215</f>
        <v>0</v>
      </c>
      <c r="O215" t="s" s="4">
        <v>18</v>
      </c>
    </row>
    <row r="216" ht="15" customHeight="1">
      <c r="A216" t="s" s="3">
        <v>282</v>
      </c>
      <c r="B216" t="s" s="4">
        <v>278</v>
      </c>
      <c r="C216" s="5">
        <v>178</v>
      </c>
      <c r="D216" s="5">
        <v>0</v>
      </c>
      <c r="E216" s="5">
        <v>67</v>
      </c>
      <c r="F216" s="6">
        <v>0</v>
      </c>
      <c r="G216" t="s" s="3">
        <v>22</v>
      </c>
      <c r="H216" s="5">
        <v>178</v>
      </c>
      <c r="I216" s="7">
        <v>0.37</v>
      </c>
      <c r="J216" s="5">
        <v>1260</v>
      </c>
      <c r="K216" s="5" cm="1">
        <f t="array" ref="K216">ROUND(H216*I216,0)</f>
        <v>66</v>
      </c>
      <c r="L216" s="5" cm="1">
        <f t="array" ref="L216">K216*J216</f>
        <v>83160</v>
      </c>
      <c r="M216" s="5">
        <v>13837</v>
      </c>
      <c r="N216" s="5" cm="1">
        <f t="array" ref="N216">D216*M216</f>
        <v>0</v>
      </c>
      <c r="O216" t="s" s="4">
        <v>18</v>
      </c>
    </row>
    <row r="217" ht="15" customHeight="1">
      <c r="A217" t="s" s="3">
        <v>283</v>
      </c>
      <c r="B217" t="s" s="4">
        <v>278</v>
      </c>
      <c r="C217" s="5">
        <v>244</v>
      </c>
      <c r="D217" s="5">
        <v>0</v>
      </c>
      <c r="E217" s="5">
        <v>67</v>
      </c>
      <c r="F217" s="6">
        <v>0</v>
      </c>
      <c r="G217" t="s" s="3">
        <v>37</v>
      </c>
      <c r="H217" s="5">
        <v>195</v>
      </c>
      <c r="I217" s="7">
        <v>0.35</v>
      </c>
      <c r="J217" s="5">
        <v>1334</v>
      </c>
      <c r="K217" s="5" cm="1">
        <f t="array" ref="K217">ROUND(H217*I217,0)</f>
        <v>68</v>
      </c>
      <c r="L217" s="5" cm="1">
        <f t="array" ref="L217">K217*J217</f>
        <v>90712</v>
      </c>
      <c r="M217" s="5">
        <v>13837</v>
      </c>
      <c r="N217" s="5" cm="1">
        <f t="array" ref="N217">D217*M217</f>
        <v>0</v>
      </c>
      <c r="O217" t="s" s="4">
        <v>18</v>
      </c>
    </row>
    <row r="218" ht="15" customHeight="1">
      <c r="A218" t="s" s="3">
        <v>284</v>
      </c>
      <c r="B218" t="s" s="4">
        <v>278</v>
      </c>
      <c r="C218" s="5">
        <v>211</v>
      </c>
      <c r="D218" s="5">
        <v>0</v>
      </c>
      <c r="E218" s="5">
        <v>67</v>
      </c>
      <c r="F218" s="6">
        <v>0</v>
      </c>
      <c r="G218" t="s" s="3">
        <v>22</v>
      </c>
      <c r="H218" s="5">
        <v>211</v>
      </c>
      <c r="I218" s="7">
        <v>0.37</v>
      </c>
      <c r="J218" s="5">
        <v>1240</v>
      </c>
      <c r="K218" s="5" cm="1">
        <f t="array" ref="K218">ROUND(H218*I218,0)</f>
        <v>78</v>
      </c>
      <c r="L218" s="5" cm="1">
        <f t="array" ref="L218">K218*J218</f>
        <v>96720</v>
      </c>
      <c r="M218" s="5">
        <v>14175</v>
      </c>
      <c r="N218" s="5" cm="1">
        <f t="array" ref="N218">D218*M218</f>
        <v>0</v>
      </c>
      <c r="O218" t="s" s="4">
        <v>18</v>
      </c>
    </row>
    <row r="219" ht="15" customHeight="1">
      <c r="A219" t="s" s="3">
        <v>285</v>
      </c>
      <c r="B219" t="s" s="4">
        <v>278</v>
      </c>
      <c r="C219" s="5">
        <v>257</v>
      </c>
      <c r="D219" s="5">
        <v>0</v>
      </c>
      <c r="E219" s="5">
        <v>67</v>
      </c>
      <c r="F219" s="6">
        <v>0</v>
      </c>
      <c r="G219" t="s" s="3">
        <v>81</v>
      </c>
      <c r="H219" s="5">
        <v>308</v>
      </c>
      <c r="I219" s="7">
        <v>0.37</v>
      </c>
      <c r="J219" s="5">
        <v>1313</v>
      </c>
      <c r="K219" s="5" cm="1">
        <f t="array" ref="K219">ROUND(H219*I219,0)</f>
        <v>114</v>
      </c>
      <c r="L219" s="5" cm="1">
        <f t="array" ref="L219">K219*J219</f>
        <v>149682</v>
      </c>
      <c r="M219" s="5">
        <v>14175</v>
      </c>
      <c r="N219" s="5" cm="1">
        <f t="array" ref="N219">D219*M219</f>
        <v>0</v>
      </c>
      <c r="O219" t="s" s="4">
        <v>18</v>
      </c>
    </row>
    <row r="220" ht="15" customHeight="1">
      <c r="A220" t="s" s="3">
        <v>286</v>
      </c>
      <c r="B220" t="s" s="4">
        <v>278</v>
      </c>
      <c r="C220" s="5">
        <v>191</v>
      </c>
      <c r="D220" s="5">
        <v>0</v>
      </c>
      <c r="E220" s="5">
        <v>67</v>
      </c>
      <c r="F220" s="6">
        <v>0</v>
      </c>
      <c r="G220" t="s" s="3">
        <v>68</v>
      </c>
      <c r="H220" s="5">
        <v>191</v>
      </c>
      <c r="I220" s="7">
        <v>0.39</v>
      </c>
      <c r="J220" s="5">
        <v>1335</v>
      </c>
      <c r="K220" s="5" cm="1">
        <f t="array" ref="K220">ROUND(H220*I220,0)</f>
        <v>74</v>
      </c>
      <c r="L220" s="5" cm="1">
        <f t="array" ref="L220">K220*J220</f>
        <v>98790</v>
      </c>
      <c r="M220" s="5">
        <v>14175</v>
      </c>
      <c r="N220" s="5" cm="1">
        <f t="array" ref="N220">D220*M220</f>
        <v>0</v>
      </c>
      <c r="O220" t="s" s="4">
        <v>18</v>
      </c>
    </row>
    <row r="221" ht="15" customHeight="1">
      <c r="A221" t="s" s="8">
        <v>287</v>
      </c>
      <c r="B221" t="s" s="9">
        <v>278</v>
      </c>
      <c r="C221" s="10">
        <v>250</v>
      </c>
      <c r="D221" s="10">
        <v>0</v>
      </c>
      <c r="E221" s="10">
        <v>0</v>
      </c>
      <c r="F221" s="11">
        <v>0</v>
      </c>
      <c r="G221" t="s" s="8">
        <v>34</v>
      </c>
      <c r="H221" s="10">
        <v>0</v>
      </c>
      <c r="I221" s="12">
        <v>0.38</v>
      </c>
      <c r="J221" s="10">
        <v>1328</v>
      </c>
      <c r="K221" s="10">
        <v>95</v>
      </c>
      <c r="L221" s="10" cm="1">
        <f t="array" ref="L221">K221*J221</f>
        <v>126160</v>
      </c>
      <c r="M221" s="10">
        <v>0</v>
      </c>
      <c r="N221" s="10" cm="1">
        <f t="array" ref="N221">D221*M221</f>
        <v>0</v>
      </c>
      <c r="O221" t="s" s="9">
        <v>288</v>
      </c>
    </row>
    <row r="222" ht="15" customHeight="1">
      <c r="A222" t="s" s="3">
        <v>289</v>
      </c>
      <c r="B222" t="s" s="4">
        <v>278</v>
      </c>
      <c r="C222" s="5">
        <v>234</v>
      </c>
      <c r="D222" s="5">
        <v>0</v>
      </c>
      <c r="E222" s="5">
        <v>67</v>
      </c>
      <c r="F222" s="6">
        <v>0</v>
      </c>
      <c r="G222" t="s" s="3">
        <v>63</v>
      </c>
      <c r="H222" s="5">
        <v>234</v>
      </c>
      <c r="I222" s="7">
        <v>0.37</v>
      </c>
      <c r="J222" s="5">
        <v>1331</v>
      </c>
      <c r="K222" s="5" cm="1">
        <f t="array" ref="K222">ROUND(H222*I222,0)</f>
        <v>87</v>
      </c>
      <c r="L222" s="5" cm="1">
        <f t="array" ref="L222">K222*J222</f>
        <v>115797</v>
      </c>
      <c r="M222" s="5">
        <v>14512</v>
      </c>
      <c r="N222" s="5" cm="1">
        <f t="array" ref="N222">D222*M222</f>
        <v>0</v>
      </c>
      <c r="O222" t="s" s="4">
        <v>18</v>
      </c>
    </row>
    <row r="223" ht="15" customHeight="1">
      <c r="A223" t="s" s="3">
        <v>290</v>
      </c>
      <c r="B223" t="s" s="4">
        <v>278</v>
      </c>
      <c r="C223" s="5">
        <v>231</v>
      </c>
      <c r="D223" s="5">
        <v>0</v>
      </c>
      <c r="E223" s="5">
        <v>67</v>
      </c>
      <c r="F223" s="6">
        <v>0</v>
      </c>
      <c r="G223" t="s" s="3">
        <v>51</v>
      </c>
      <c r="H223" s="5">
        <v>184</v>
      </c>
      <c r="I223" s="7">
        <v>0.4</v>
      </c>
      <c r="J223" s="5">
        <v>1331</v>
      </c>
      <c r="K223" s="5" cm="1">
        <f t="array" ref="K223">ROUND(H223*I223,0)</f>
        <v>74</v>
      </c>
      <c r="L223" s="5" cm="1">
        <f t="array" ref="L223">K223*J223</f>
        <v>98494</v>
      </c>
      <c r="M223" s="5">
        <v>14512</v>
      </c>
      <c r="N223" s="5" cm="1">
        <f t="array" ref="N223">D223*M223</f>
        <v>0</v>
      </c>
      <c r="O223" t="s" s="4">
        <v>18</v>
      </c>
    </row>
    <row r="224" ht="15" customHeight="1">
      <c r="A224" t="s" s="3">
        <v>291</v>
      </c>
      <c r="B224" t="s" s="4">
        <v>278</v>
      </c>
      <c r="C224" s="5">
        <v>210</v>
      </c>
      <c r="D224" s="5">
        <v>0</v>
      </c>
      <c r="E224" s="5">
        <v>67</v>
      </c>
      <c r="F224" s="6">
        <v>0</v>
      </c>
      <c r="G224" t="s" s="3">
        <v>79</v>
      </c>
      <c r="H224" s="5">
        <v>210</v>
      </c>
      <c r="I224" s="7">
        <v>0.4</v>
      </c>
      <c r="J224" s="5">
        <v>1355</v>
      </c>
      <c r="K224" s="5" cm="1">
        <f t="array" ref="K224">ROUND(H224*I224,0)</f>
        <v>84</v>
      </c>
      <c r="L224" s="5" cm="1">
        <f t="array" ref="L224">K224*J224</f>
        <v>113820</v>
      </c>
      <c r="M224" s="5">
        <v>14512</v>
      </c>
      <c r="N224" s="5" cm="1">
        <f t="array" ref="N224">D224*M224</f>
        <v>0</v>
      </c>
      <c r="O224" t="s" s="4">
        <v>18</v>
      </c>
    </row>
    <row r="225" ht="15" customHeight="1">
      <c r="A225" t="s" s="13">
        <v>292</v>
      </c>
      <c r="B225" t="s" s="14">
        <v>278</v>
      </c>
      <c r="C225" s="15">
        <v>174</v>
      </c>
      <c r="D225" s="15">
        <v>8</v>
      </c>
      <c r="E225" s="15">
        <v>67</v>
      </c>
      <c r="F225" s="16" cm="1">
        <f t="array" ref="F225">ROUND(D225/E225,1)</f>
        <v>0.1</v>
      </c>
      <c r="G225" t="s" s="13">
        <v>83</v>
      </c>
      <c r="H225" s="15">
        <v>208</v>
      </c>
      <c r="I225" s="17">
        <v>0.42</v>
      </c>
      <c r="J225" s="15">
        <v>1388</v>
      </c>
      <c r="K225" s="15" cm="1">
        <f t="array" ref="K225">ROUND(H225*I225,0)</f>
        <v>87</v>
      </c>
      <c r="L225" s="15" cm="1">
        <f t="array" ref="L225">K225*J225</f>
        <v>120756</v>
      </c>
      <c r="M225" s="15">
        <v>14850</v>
      </c>
      <c r="N225" s="15" cm="1">
        <f t="array" ref="N225">D225*M225</f>
        <v>118800</v>
      </c>
      <c r="O225" t="s" s="14">
        <v>40</v>
      </c>
    </row>
    <row r="226" ht="15" customHeight="1">
      <c r="A226" t="s" s="13">
        <v>293</v>
      </c>
      <c r="B226" t="s" s="14">
        <v>278</v>
      </c>
      <c r="C226" s="15">
        <v>276</v>
      </c>
      <c r="D226" s="15">
        <v>208</v>
      </c>
      <c r="E226" s="15">
        <v>67</v>
      </c>
      <c r="F226" s="16" cm="1">
        <f t="array" ref="F226">ROUND(D226/E226,1)</f>
        <v>3.1</v>
      </c>
      <c r="G226" t="s" s="13">
        <v>30</v>
      </c>
      <c r="H226" s="15">
        <v>220</v>
      </c>
      <c r="I226" s="17">
        <v>0.41</v>
      </c>
      <c r="J226" s="15">
        <v>1456</v>
      </c>
      <c r="K226" s="15" cm="1">
        <f t="array" ref="K226">ROUND(H226*I226,0)</f>
        <v>90</v>
      </c>
      <c r="L226" s="15" cm="1">
        <f t="array" ref="L226">K226*J226</f>
        <v>131040</v>
      </c>
      <c r="M226" s="15">
        <v>14850</v>
      </c>
      <c r="N226" s="15" cm="1">
        <f t="array" ref="N226">D226*M226</f>
        <v>3088800</v>
      </c>
      <c r="O226" t="s" s="14">
        <v>40</v>
      </c>
    </row>
    <row r="227" ht="15" customHeight="1">
      <c r="A227" t="s" s="3">
        <v>294</v>
      </c>
      <c r="B227" t="s" s="4">
        <v>295</v>
      </c>
      <c r="C227" s="5">
        <v>73</v>
      </c>
      <c r="D227" s="5">
        <v>0</v>
      </c>
      <c r="E227" s="5">
        <v>17</v>
      </c>
      <c r="F227" s="6">
        <v>0</v>
      </c>
      <c r="G227" t="s" s="3">
        <v>28</v>
      </c>
      <c r="H227" s="5">
        <v>73</v>
      </c>
      <c r="I227" s="7">
        <v>8</v>
      </c>
      <c r="J227" s="5">
        <v>1136</v>
      </c>
      <c r="K227" s="5" cm="1">
        <f t="array" ref="K227">ROUND(H227*I227,0)</f>
        <v>584</v>
      </c>
      <c r="L227" s="5" cm="1">
        <f t="array" ref="L227">K227*J227</f>
        <v>663424</v>
      </c>
      <c r="M227" s="5">
        <v>58000</v>
      </c>
      <c r="N227" s="5" cm="1">
        <f t="array" ref="N227">D227*M227</f>
        <v>0</v>
      </c>
      <c r="O227" t="s" s="4">
        <v>18</v>
      </c>
    </row>
    <row r="228" ht="15" customHeight="1">
      <c r="A228" t="s" s="3">
        <v>296</v>
      </c>
      <c r="B228" t="s" s="4">
        <v>295</v>
      </c>
      <c r="C228" s="5">
        <v>56</v>
      </c>
      <c r="D228" s="5">
        <v>0</v>
      </c>
      <c r="E228" s="5">
        <v>17</v>
      </c>
      <c r="F228" s="6">
        <v>0</v>
      </c>
      <c r="G228" t="s" s="3">
        <v>81</v>
      </c>
      <c r="H228" s="5">
        <v>56</v>
      </c>
      <c r="I228" s="7">
        <v>8.02</v>
      </c>
      <c r="J228" s="5">
        <v>1189</v>
      </c>
      <c r="K228" s="5" cm="1">
        <f t="array" ref="K228">ROUND(H228*I228,0)</f>
        <v>449</v>
      </c>
      <c r="L228" s="5" cm="1">
        <f t="array" ref="L228">K228*J228</f>
        <v>533861</v>
      </c>
      <c r="M228" s="5">
        <v>58000</v>
      </c>
      <c r="N228" s="5" cm="1">
        <f t="array" ref="N228">D228*M228</f>
        <v>0</v>
      </c>
      <c r="O228" t="s" s="4">
        <v>18</v>
      </c>
    </row>
    <row r="229" ht="15" customHeight="1">
      <c r="A229" t="s" s="3">
        <v>297</v>
      </c>
      <c r="B229" t="s" s="4">
        <v>295</v>
      </c>
      <c r="C229" s="5">
        <v>88</v>
      </c>
      <c r="D229" s="5">
        <v>0</v>
      </c>
      <c r="E229" s="5">
        <v>17</v>
      </c>
      <c r="F229" s="6">
        <v>0</v>
      </c>
      <c r="G229" t="s" s="3">
        <v>28</v>
      </c>
      <c r="H229" s="5">
        <v>105</v>
      </c>
      <c r="I229" s="7">
        <v>8.57</v>
      </c>
      <c r="J229" s="5">
        <v>1219</v>
      </c>
      <c r="K229" s="5" cm="1">
        <f t="array" ref="K229">ROUND(H229*I229,0)</f>
        <v>900</v>
      </c>
      <c r="L229" s="5" cm="1">
        <f t="array" ref="L229">K229*J229</f>
        <v>1097100</v>
      </c>
      <c r="M229" s="5">
        <v>59450</v>
      </c>
      <c r="N229" s="5" cm="1">
        <f t="array" ref="N229">D229*M229</f>
        <v>0</v>
      </c>
      <c r="O229" t="s" s="4">
        <v>18</v>
      </c>
    </row>
    <row r="230" ht="15" customHeight="1">
      <c r="A230" t="s" s="3">
        <v>298</v>
      </c>
      <c r="B230" t="s" s="4">
        <v>295</v>
      </c>
      <c r="C230" s="5">
        <v>67</v>
      </c>
      <c r="D230" s="5">
        <v>0</v>
      </c>
      <c r="E230" s="5">
        <v>17</v>
      </c>
      <c r="F230" s="6">
        <v>0</v>
      </c>
      <c r="G230" t="s" s="3">
        <v>95</v>
      </c>
      <c r="H230" s="5">
        <v>80</v>
      </c>
      <c r="I230" s="7">
        <v>8.67</v>
      </c>
      <c r="J230" s="5">
        <v>1325</v>
      </c>
      <c r="K230" s="5" cm="1">
        <f t="array" ref="K230">ROUND(H230*I230,0)</f>
        <v>694</v>
      </c>
      <c r="L230" s="5" cm="1">
        <f t="array" ref="L230">K230*J230</f>
        <v>919550</v>
      </c>
      <c r="M230" s="5">
        <v>59450</v>
      </c>
      <c r="N230" s="5" cm="1">
        <f t="array" ref="N230">D230*M230</f>
        <v>0</v>
      </c>
      <c r="O230" t="s" s="4">
        <v>18</v>
      </c>
    </row>
    <row r="231" ht="15" customHeight="1">
      <c r="A231" t="s" s="3">
        <v>299</v>
      </c>
      <c r="B231" t="s" s="4">
        <v>295</v>
      </c>
      <c r="C231" s="5">
        <v>62</v>
      </c>
      <c r="D231" s="5">
        <v>0</v>
      </c>
      <c r="E231" s="5">
        <v>17</v>
      </c>
      <c r="F231" s="6">
        <v>0</v>
      </c>
      <c r="G231" t="s" s="3">
        <v>26</v>
      </c>
      <c r="H231" s="5">
        <v>74</v>
      </c>
      <c r="I231" s="7">
        <v>9.31</v>
      </c>
      <c r="J231" s="5">
        <v>1433</v>
      </c>
      <c r="K231" s="5" cm="1">
        <f t="array" ref="K231">ROUND(H231*I231,0)</f>
        <v>689</v>
      </c>
      <c r="L231" s="5" cm="1">
        <f t="array" ref="L231">K231*J231</f>
        <v>987337</v>
      </c>
      <c r="M231" s="5">
        <v>59450</v>
      </c>
      <c r="N231" s="5" cm="1">
        <f t="array" ref="N231">D231*M231</f>
        <v>0</v>
      </c>
      <c r="O231" t="s" s="4">
        <v>18</v>
      </c>
    </row>
    <row r="232" ht="15" customHeight="1">
      <c r="A232" t="s" s="3">
        <v>300</v>
      </c>
      <c r="B232" t="s" s="4">
        <v>295</v>
      </c>
      <c r="C232" s="5">
        <v>57</v>
      </c>
      <c r="D232" s="5">
        <v>0</v>
      </c>
      <c r="E232" s="5">
        <v>17</v>
      </c>
      <c r="F232" s="6">
        <v>0</v>
      </c>
      <c r="G232" t="s" s="3">
        <v>81</v>
      </c>
      <c r="H232" s="5">
        <v>45</v>
      </c>
      <c r="I232" s="7">
        <v>8.98</v>
      </c>
      <c r="J232" s="5">
        <v>1234</v>
      </c>
      <c r="K232" s="5" cm="1">
        <f t="array" ref="K232">ROUND(H232*I232,0)</f>
        <v>404</v>
      </c>
      <c r="L232" s="5" cm="1">
        <f t="array" ref="L232">K232*J232</f>
        <v>498536</v>
      </c>
      <c r="M232" s="5">
        <v>60900</v>
      </c>
      <c r="N232" s="5" cm="1">
        <f t="array" ref="N232">D232*M232</f>
        <v>0</v>
      </c>
      <c r="O232" t="s" s="4">
        <v>18</v>
      </c>
    </row>
    <row r="233" ht="15" customHeight="1">
      <c r="A233" t="s" s="3">
        <v>301</v>
      </c>
      <c r="B233" t="s" s="4">
        <v>295</v>
      </c>
      <c r="C233" s="5">
        <v>84</v>
      </c>
      <c r="D233" s="5">
        <v>0</v>
      </c>
      <c r="E233" s="5">
        <v>17</v>
      </c>
      <c r="F233" s="6">
        <v>0</v>
      </c>
      <c r="G233" t="s" s="3">
        <v>45</v>
      </c>
      <c r="H233" s="5">
        <v>100</v>
      </c>
      <c r="I233" s="7">
        <v>9.42</v>
      </c>
      <c r="J233" s="5">
        <v>1318</v>
      </c>
      <c r="K233" s="5" cm="1">
        <f t="array" ref="K233">ROUND(H233*I233,0)</f>
        <v>942</v>
      </c>
      <c r="L233" s="5" cm="1">
        <f t="array" ref="L233">K233*J233</f>
        <v>1241556</v>
      </c>
      <c r="M233" s="5">
        <v>60900</v>
      </c>
      <c r="N233" s="5" cm="1">
        <f t="array" ref="N233">D233*M233</f>
        <v>0</v>
      </c>
      <c r="O233" t="s" s="4">
        <v>18</v>
      </c>
    </row>
    <row r="234" ht="15" customHeight="1">
      <c r="A234" t="s" s="13">
        <v>302</v>
      </c>
      <c r="B234" t="s" s="14">
        <v>295</v>
      </c>
      <c r="C234" s="15">
        <v>57</v>
      </c>
      <c r="D234" s="15">
        <v>1</v>
      </c>
      <c r="E234" s="15">
        <v>17</v>
      </c>
      <c r="F234" s="16" cm="1">
        <f t="array" ref="F234">ROUND(D234/E234,1)</f>
        <v>0.1</v>
      </c>
      <c r="G234" t="s" s="13">
        <v>68</v>
      </c>
      <c r="H234" s="15">
        <v>45</v>
      </c>
      <c r="I234" s="17">
        <v>9.69</v>
      </c>
      <c r="J234" s="15">
        <v>1383</v>
      </c>
      <c r="K234" s="15" cm="1">
        <f t="array" ref="K234">ROUND(H234*I234,0)</f>
        <v>436</v>
      </c>
      <c r="L234" s="15" cm="1">
        <f t="array" ref="L234">K234*J234</f>
        <v>602988</v>
      </c>
      <c r="M234" s="15">
        <v>62350</v>
      </c>
      <c r="N234" s="15" cm="1">
        <f t="array" ref="N234">D234*M234</f>
        <v>62350</v>
      </c>
      <c r="O234" t="s" s="14">
        <v>40</v>
      </c>
    </row>
    <row r="235" ht="15" customHeight="1">
      <c r="A235" t="s" s="13">
        <v>303</v>
      </c>
      <c r="B235" t="s" s="14">
        <v>295</v>
      </c>
      <c r="C235" s="15">
        <v>73</v>
      </c>
      <c r="D235" s="15">
        <v>5</v>
      </c>
      <c r="E235" s="15">
        <v>17</v>
      </c>
      <c r="F235" s="16" cm="1">
        <f t="array" ref="F235">ROUND(D235/E235,1)</f>
        <v>0.3</v>
      </c>
      <c r="G235" t="s" s="13">
        <v>81</v>
      </c>
      <c r="H235" s="15">
        <v>73</v>
      </c>
      <c r="I235" s="17">
        <v>9.460000000000001</v>
      </c>
      <c r="J235" s="15">
        <v>1342</v>
      </c>
      <c r="K235" s="15" cm="1">
        <f t="array" ref="K235">ROUND(H235*I235,0)</f>
        <v>691</v>
      </c>
      <c r="L235" s="15" cm="1">
        <f t="array" ref="L235">K235*J235</f>
        <v>927322</v>
      </c>
      <c r="M235" s="15">
        <v>62350</v>
      </c>
      <c r="N235" s="15" cm="1">
        <f t="array" ref="N235">D235*M235</f>
        <v>311750</v>
      </c>
      <c r="O235" t="s" s="14">
        <v>40</v>
      </c>
    </row>
    <row r="236" ht="15" customHeight="1">
      <c r="A236" t="s" s="13">
        <v>304</v>
      </c>
      <c r="B236" t="s" s="14">
        <v>295</v>
      </c>
      <c r="C236" s="15">
        <v>53</v>
      </c>
      <c r="D236" s="15">
        <v>3</v>
      </c>
      <c r="E236" s="15">
        <v>17</v>
      </c>
      <c r="F236" s="16" cm="1">
        <f t="array" ref="F236">ROUND(D236/E236,1)</f>
        <v>0.2</v>
      </c>
      <c r="G236" t="s" s="13">
        <v>102</v>
      </c>
      <c r="H236" s="15">
        <v>63</v>
      </c>
      <c r="I236" s="17">
        <v>10.06</v>
      </c>
      <c r="J236" s="15">
        <v>1455</v>
      </c>
      <c r="K236" s="15" cm="1">
        <f t="array" ref="K236">ROUND(H236*I236,0)</f>
        <v>634</v>
      </c>
      <c r="L236" s="15" cm="1">
        <f t="array" ref="L236">K236*J236</f>
        <v>922470</v>
      </c>
      <c r="M236" s="15">
        <v>63800</v>
      </c>
      <c r="N236" s="15" cm="1">
        <f t="array" ref="N236">D236*M236</f>
        <v>191400</v>
      </c>
      <c r="O236" t="s" s="14">
        <v>40</v>
      </c>
    </row>
    <row r="237" ht="15" customHeight="1">
      <c r="A237" t="s" s="13">
        <v>305</v>
      </c>
      <c r="B237" t="s" s="14">
        <v>295</v>
      </c>
      <c r="C237" s="15">
        <v>76</v>
      </c>
      <c r="D237" s="15">
        <v>40</v>
      </c>
      <c r="E237" s="15">
        <v>17</v>
      </c>
      <c r="F237" s="16" cm="1">
        <f t="array" ref="F237">ROUND(D237/E237,1)</f>
        <v>2.4</v>
      </c>
      <c r="G237" t="s" s="13">
        <v>79</v>
      </c>
      <c r="H237" s="15">
        <v>91</v>
      </c>
      <c r="I237" s="17">
        <v>9.039999999999999</v>
      </c>
      <c r="J237" s="15">
        <v>1431</v>
      </c>
      <c r="K237" s="15" cm="1">
        <f t="array" ref="K237">ROUND(H237*I237,0)</f>
        <v>823</v>
      </c>
      <c r="L237" s="15" cm="1">
        <f t="array" ref="L237">K237*J237</f>
        <v>1177713</v>
      </c>
      <c r="M237" s="15">
        <v>63800</v>
      </c>
      <c r="N237" s="15" cm="1">
        <f t="array" ref="N237">D237*M237</f>
        <v>2552000</v>
      </c>
      <c r="O237" t="s" s="14">
        <v>40</v>
      </c>
    </row>
    <row r="238" ht="15" customHeight="1">
      <c r="A238" t="s" s="13">
        <v>306</v>
      </c>
      <c r="B238" t="s" s="14">
        <v>295</v>
      </c>
      <c r="C238" s="15">
        <v>74</v>
      </c>
      <c r="D238" s="15">
        <v>53</v>
      </c>
      <c r="E238" s="15">
        <v>17</v>
      </c>
      <c r="F238" s="16" cm="1">
        <f t="array" ref="F238">ROUND(D238/E238,1)</f>
        <v>3.1</v>
      </c>
      <c r="G238" t="s" s="13">
        <v>20</v>
      </c>
      <c r="H238" s="15">
        <v>74</v>
      </c>
      <c r="I238" s="17">
        <v>9.710000000000001</v>
      </c>
      <c r="J238" s="15">
        <v>1463</v>
      </c>
      <c r="K238" s="15" cm="1">
        <f t="array" ref="K238">ROUND(H238*I238,0)</f>
        <v>719</v>
      </c>
      <c r="L238" s="15" cm="1">
        <f t="array" ref="L238">K238*J238</f>
        <v>1051897</v>
      </c>
      <c r="M238" s="15">
        <v>63800</v>
      </c>
      <c r="N238" s="15" cm="1">
        <f t="array" ref="N238">D238*M238</f>
        <v>3381400</v>
      </c>
      <c r="O238" t="s" s="14">
        <v>40</v>
      </c>
    </row>
    <row r="239" ht="15" customHeight="1">
      <c r="A239" t="s" s="3">
        <v>307</v>
      </c>
      <c r="B239" t="s" s="4">
        <v>308</v>
      </c>
      <c r="C239" s="5">
        <v>268</v>
      </c>
      <c r="D239" s="5">
        <v>0</v>
      </c>
      <c r="E239" s="5">
        <v>69</v>
      </c>
      <c r="F239" s="6">
        <v>0</v>
      </c>
      <c r="G239" t="s" s="3">
        <v>130</v>
      </c>
      <c r="H239" s="5">
        <v>268</v>
      </c>
      <c r="I239" s="7">
        <v>0.8100000000000001</v>
      </c>
      <c r="J239" s="5">
        <v>1135</v>
      </c>
      <c r="K239" s="5" cm="1">
        <f t="array" ref="K239">ROUND(H239*I239,0)</f>
        <v>217</v>
      </c>
      <c r="L239" s="5" cm="1">
        <f t="array" ref="L239">K239*J239</f>
        <v>246295</v>
      </c>
      <c r="M239" s="5">
        <v>15500</v>
      </c>
      <c r="N239" s="5" cm="1">
        <f t="array" ref="N239">D239*M239</f>
        <v>0</v>
      </c>
      <c r="O239" t="s" s="4">
        <v>18</v>
      </c>
    </row>
    <row r="240" ht="15" customHeight="1">
      <c r="A240" t="s" s="3">
        <v>309</v>
      </c>
      <c r="B240" t="s" s="4">
        <v>308</v>
      </c>
      <c r="C240" s="5">
        <v>299</v>
      </c>
      <c r="D240" s="5">
        <v>0</v>
      </c>
      <c r="E240" s="5">
        <v>69</v>
      </c>
      <c r="F240" s="6">
        <v>0</v>
      </c>
      <c r="G240" t="s" s="3">
        <v>130</v>
      </c>
      <c r="H240" s="5">
        <v>299</v>
      </c>
      <c r="I240" s="7">
        <v>0.82</v>
      </c>
      <c r="J240" s="5">
        <v>1187</v>
      </c>
      <c r="K240" s="5" cm="1">
        <f t="array" ref="K240">ROUND(H240*I240,0)</f>
        <v>245</v>
      </c>
      <c r="L240" s="5" cm="1">
        <f t="array" ref="L240">K240*J240</f>
        <v>290815</v>
      </c>
      <c r="M240" s="5">
        <v>15500</v>
      </c>
      <c r="N240" s="5" cm="1">
        <f t="array" ref="N240">D240*M240</f>
        <v>0</v>
      </c>
      <c r="O240" t="s" s="4">
        <v>18</v>
      </c>
    </row>
    <row r="241" ht="15" customHeight="1">
      <c r="A241" t="s" s="3">
        <v>310</v>
      </c>
      <c r="B241" t="s" s="4">
        <v>308</v>
      </c>
      <c r="C241" s="5">
        <v>197</v>
      </c>
      <c r="D241" s="5">
        <v>0</v>
      </c>
      <c r="E241" s="5">
        <v>69</v>
      </c>
      <c r="F241" s="6">
        <v>0</v>
      </c>
      <c r="G241" t="s" s="3">
        <v>49</v>
      </c>
      <c r="H241" s="5">
        <v>236</v>
      </c>
      <c r="I241" s="7">
        <v>0.86</v>
      </c>
      <c r="J241" s="5">
        <v>1304</v>
      </c>
      <c r="K241" s="5" cm="1">
        <f t="array" ref="K241">ROUND(H241*I241,0)</f>
        <v>203</v>
      </c>
      <c r="L241" s="5" cm="1">
        <f t="array" ref="L241">K241*J241</f>
        <v>264712</v>
      </c>
      <c r="M241" s="5">
        <v>15887</v>
      </c>
      <c r="N241" s="5" cm="1">
        <f t="array" ref="N241">D241*M241</f>
        <v>0</v>
      </c>
      <c r="O241" t="s" s="4">
        <v>18</v>
      </c>
    </row>
    <row r="242" ht="15" customHeight="1">
      <c r="A242" t="s" s="3">
        <v>311</v>
      </c>
      <c r="B242" t="s" s="4">
        <v>308</v>
      </c>
      <c r="C242" s="5">
        <v>217</v>
      </c>
      <c r="D242" s="5">
        <v>0</v>
      </c>
      <c r="E242" s="5">
        <v>69</v>
      </c>
      <c r="F242" s="6">
        <v>0</v>
      </c>
      <c r="G242" t="s" s="3">
        <v>24</v>
      </c>
      <c r="H242" s="5">
        <v>217</v>
      </c>
      <c r="I242" s="7">
        <v>0.9</v>
      </c>
      <c r="J242" s="5">
        <v>1329</v>
      </c>
      <c r="K242" s="5" cm="1">
        <f t="array" ref="K242">ROUND(H242*I242,0)</f>
        <v>195</v>
      </c>
      <c r="L242" s="5" cm="1">
        <f t="array" ref="L242">K242*J242</f>
        <v>259155</v>
      </c>
      <c r="M242" s="5">
        <v>15887</v>
      </c>
      <c r="N242" s="5" cm="1">
        <f t="array" ref="N242">D242*M242</f>
        <v>0</v>
      </c>
      <c r="O242" t="s" s="4">
        <v>18</v>
      </c>
    </row>
    <row r="243" ht="15" customHeight="1">
      <c r="A243" t="s" s="3">
        <v>312</v>
      </c>
      <c r="B243" t="s" s="4">
        <v>308</v>
      </c>
      <c r="C243" s="5">
        <v>223</v>
      </c>
      <c r="D243" s="5">
        <v>0</v>
      </c>
      <c r="E243" s="5">
        <v>69</v>
      </c>
      <c r="F243" s="6">
        <v>0</v>
      </c>
      <c r="G243" t="s" s="3">
        <v>47</v>
      </c>
      <c r="H243" s="5">
        <v>267</v>
      </c>
      <c r="I243" s="7">
        <v>0.87</v>
      </c>
      <c r="J243" s="5">
        <v>1395</v>
      </c>
      <c r="K243" s="5" cm="1">
        <f t="array" ref="K243">ROUND(H243*I243,0)</f>
        <v>232</v>
      </c>
      <c r="L243" s="5" cm="1">
        <f t="array" ref="L243">K243*J243</f>
        <v>323640</v>
      </c>
      <c r="M243" s="5">
        <v>15887</v>
      </c>
      <c r="N243" s="5" cm="1">
        <f t="array" ref="N243">D243*M243</f>
        <v>0</v>
      </c>
      <c r="O243" t="s" s="4">
        <v>18</v>
      </c>
    </row>
    <row r="244" ht="15" customHeight="1">
      <c r="A244" t="s" s="3">
        <v>313</v>
      </c>
      <c r="B244" t="s" s="4">
        <v>308</v>
      </c>
      <c r="C244" s="5">
        <v>256</v>
      </c>
      <c r="D244" s="5">
        <v>0</v>
      </c>
      <c r="E244" s="5">
        <v>69</v>
      </c>
      <c r="F244" s="6">
        <v>0</v>
      </c>
      <c r="G244" t="s" s="3">
        <v>57</v>
      </c>
      <c r="H244" s="5">
        <v>204</v>
      </c>
      <c r="I244" s="7">
        <v>0.9</v>
      </c>
      <c r="J244" s="5">
        <v>1284</v>
      </c>
      <c r="K244" s="5" cm="1">
        <f t="array" ref="K244">ROUND(H244*I244,0)</f>
        <v>184</v>
      </c>
      <c r="L244" s="5" cm="1">
        <f t="array" ref="L244">K244*J244</f>
        <v>236256</v>
      </c>
      <c r="M244" s="5">
        <v>16275</v>
      </c>
      <c r="N244" s="5" cm="1">
        <f t="array" ref="N244">D244*M244</f>
        <v>0</v>
      </c>
      <c r="O244" t="s" s="4">
        <v>18</v>
      </c>
    </row>
    <row r="245" ht="15" customHeight="1">
      <c r="A245" t="s" s="3">
        <v>314</v>
      </c>
      <c r="B245" t="s" s="4">
        <v>308</v>
      </c>
      <c r="C245" s="5">
        <v>232</v>
      </c>
      <c r="D245" s="5">
        <v>0</v>
      </c>
      <c r="E245" s="5">
        <v>69</v>
      </c>
      <c r="F245" s="6">
        <v>0</v>
      </c>
      <c r="G245" t="s" s="3">
        <v>51</v>
      </c>
      <c r="H245" s="5">
        <v>185</v>
      </c>
      <c r="I245" s="7">
        <v>0.9399999999999999</v>
      </c>
      <c r="J245" s="5">
        <v>1288</v>
      </c>
      <c r="K245" s="5" cm="1">
        <f t="array" ref="K245">ROUND(H245*I245,0)</f>
        <v>174</v>
      </c>
      <c r="L245" s="5" cm="1">
        <f t="array" ref="L245">K245*J245</f>
        <v>224112</v>
      </c>
      <c r="M245" s="5">
        <v>16275</v>
      </c>
      <c r="N245" s="5" cm="1">
        <f t="array" ref="N245">D245*M245</f>
        <v>0</v>
      </c>
      <c r="O245" t="s" s="4">
        <v>18</v>
      </c>
    </row>
    <row r="246" ht="15" customHeight="1">
      <c r="A246" t="s" s="3">
        <v>315</v>
      </c>
      <c r="B246" t="s" s="4">
        <v>308</v>
      </c>
      <c r="C246" s="5">
        <v>259</v>
      </c>
      <c r="D246" s="5">
        <v>0</v>
      </c>
      <c r="E246" s="5">
        <v>69</v>
      </c>
      <c r="F246" s="6">
        <v>0</v>
      </c>
      <c r="G246" t="s" s="3">
        <v>51</v>
      </c>
      <c r="H246" s="5">
        <v>310</v>
      </c>
      <c r="I246" s="7">
        <v>0.83</v>
      </c>
      <c r="J246" s="5">
        <v>1313</v>
      </c>
      <c r="K246" s="5" cm="1">
        <f t="array" ref="K246">ROUND(H246*I246,0)</f>
        <v>257</v>
      </c>
      <c r="L246" s="5" cm="1">
        <f t="array" ref="L246">K246*J246</f>
        <v>337441</v>
      </c>
      <c r="M246" s="5">
        <v>16662</v>
      </c>
      <c r="N246" s="5" cm="1">
        <f t="array" ref="N246">D246*M246</f>
        <v>0</v>
      </c>
      <c r="O246" t="s" s="4">
        <v>18</v>
      </c>
    </row>
    <row r="247" ht="15" customHeight="1">
      <c r="A247" t="s" s="3">
        <v>316</v>
      </c>
      <c r="B247" t="s" s="4">
        <v>308</v>
      </c>
      <c r="C247" s="5">
        <v>192</v>
      </c>
      <c r="D247" s="5">
        <v>0</v>
      </c>
      <c r="E247" s="5">
        <v>69</v>
      </c>
      <c r="F247" s="6">
        <v>0</v>
      </c>
      <c r="G247" t="s" s="3">
        <v>28</v>
      </c>
      <c r="H247" s="5">
        <v>192</v>
      </c>
      <c r="I247" s="7">
        <v>0.95</v>
      </c>
      <c r="J247" s="5">
        <v>1370</v>
      </c>
      <c r="K247" s="5" cm="1">
        <f t="array" ref="K247">ROUND(H247*I247,0)</f>
        <v>182</v>
      </c>
      <c r="L247" s="5" cm="1">
        <f t="array" ref="L247">K247*J247</f>
        <v>249340</v>
      </c>
      <c r="M247" s="5">
        <v>16662</v>
      </c>
      <c r="N247" s="5" cm="1">
        <f t="array" ref="N247">D247*M247</f>
        <v>0</v>
      </c>
      <c r="O247" t="s" s="4">
        <v>18</v>
      </c>
    </row>
    <row r="248" ht="15" customHeight="1">
      <c r="A248" t="s" s="13">
        <v>317</v>
      </c>
      <c r="B248" t="s" s="14">
        <v>308</v>
      </c>
      <c r="C248" s="15">
        <v>189</v>
      </c>
      <c r="D248" s="15">
        <v>8</v>
      </c>
      <c r="E248" s="15">
        <v>69</v>
      </c>
      <c r="F248" s="16" cm="1">
        <f t="array" ref="F248">ROUND(D248/E248,1)</f>
        <v>0.1</v>
      </c>
      <c r="G248" t="s" s="13">
        <v>20</v>
      </c>
      <c r="H248" s="15">
        <v>189</v>
      </c>
      <c r="I248" s="17">
        <v>0.88</v>
      </c>
      <c r="J248" s="15">
        <v>1399</v>
      </c>
      <c r="K248" s="15" cm="1">
        <f t="array" ref="K248">ROUND(H248*I248,0)</f>
        <v>166</v>
      </c>
      <c r="L248" s="15" cm="1">
        <f t="array" ref="L248">K248*J248</f>
        <v>232234</v>
      </c>
      <c r="M248" s="15">
        <v>16662</v>
      </c>
      <c r="N248" s="15" cm="1">
        <f t="array" ref="N248">D248*M248</f>
        <v>133296</v>
      </c>
      <c r="O248" t="s" s="14">
        <v>40</v>
      </c>
    </row>
    <row r="249" ht="15" customHeight="1">
      <c r="A249" t="s" s="13">
        <v>318</v>
      </c>
      <c r="B249" t="s" s="14">
        <v>308</v>
      </c>
      <c r="C249" s="15">
        <v>191</v>
      </c>
      <c r="D249" s="15">
        <v>8</v>
      </c>
      <c r="E249" s="15">
        <v>69</v>
      </c>
      <c r="F249" s="16" cm="1">
        <f t="array" ref="F249">ROUND(D249/E249,1)</f>
        <v>0.1</v>
      </c>
      <c r="G249" t="s" s="13">
        <v>57</v>
      </c>
      <c r="H249" s="15">
        <v>152</v>
      </c>
      <c r="I249" s="17">
        <v>0.87</v>
      </c>
      <c r="J249" s="15">
        <v>1436</v>
      </c>
      <c r="K249" s="15" cm="1">
        <f t="array" ref="K249">ROUND(H249*I249,0)</f>
        <v>132</v>
      </c>
      <c r="L249" s="15" cm="1">
        <f t="array" ref="L249">K249*J249</f>
        <v>189552</v>
      </c>
      <c r="M249" s="15">
        <v>17050</v>
      </c>
      <c r="N249" s="15" cm="1">
        <f t="array" ref="N249">D249*M249</f>
        <v>136400</v>
      </c>
      <c r="O249" t="s" s="14">
        <v>40</v>
      </c>
    </row>
    <row r="250" ht="15" customHeight="1">
      <c r="A250" t="s" s="13">
        <v>319</v>
      </c>
      <c r="B250" t="s" s="14">
        <v>308</v>
      </c>
      <c r="C250" s="15">
        <v>284</v>
      </c>
      <c r="D250" s="15">
        <v>3</v>
      </c>
      <c r="E250" s="15">
        <v>69</v>
      </c>
      <c r="F250" s="16" cm="1">
        <f t="array" ref="F250">ROUND(D250/E250,1)</f>
        <v>0</v>
      </c>
      <c r="G250" t="s" s="13">
        <v>63</v>
      </c>
      <c r="H250" s="15">
        <v>227</v>
      </c>
      <c r="I250" s="17">
        <v>1.02</v>
      </c>
      <c r="J250" s="15">
        <v>1389</v>
      </c>
      <c r="K250" s="15" cm="1">
        <f t="array" ref="K250">ROUND(H250*I250,0)</f>
        <v>232</v>
      </c>
      <c r="L250" s="15" cm="1">
        <f t="array" ref="L250">K250*J250</f>
        <v>322248</v>
      </c>
      <c r="M250" s="15">
        <v>17050</v>
      </c>
      <c r="N250" s="15" cm="1">
        <f t="array" ref="N250">D250*M250</f>
        <v>51150</v>
      </c>
      <c r="O250" t="s" s="14">
        <v>40</v>
      </c>
    </row>
    <row r="251" ht="15" customHeight="1">
      <c r="A251" t="s" s="13">
        <v>320</v>
      </c>
      <c r="B251" t="s" s="14">
        <v>308</v>
      </c>
      <c r="C251" s="15">
        <v>204</v>
      </c>
      <c r="D251" s="15">
        <v>73</v>
      </c>
      <c r="E251" s="15">
        <v>69</v>
      </c>
      <c r="F251" s="16" cm="1">
        <f t="array" ref="F251">ROUND(D251/E251,1)</f>
        <v>1.1</v>
      </c>
      <c r="G251" t="s" s="13">
        <v>102</v>
      </c>
      <c r="H251" s="15">
        <v>163</v>
      </c>
      <c r="I251" s="17">
        <v>0.86</v>
      </c>
      <c r="J251" s="15">
        <v>1431</v>
      </c>
      <c r="K251" s="15" cm="1">
        <f t="array" ref="K251">ROUND(H251*I251,0)</f>
        <v>140</v>
      </c>
      <c r="L251" s="15" cm="1">
        <f t="array" ref="L251">K251*J251</f>
        <v>200340</v>
      </c>
      <c r="M251" s="15">
        <v>17050</v>
      </c>
      <c r="N251" s="15" cm="1">
        <f t="array" ref="N251">D251*M251</f>
        <v>1244650</v>
      </c>
      <c r="O251" t="s" s="14">
        <v>40</v>
      </c>
    </row>
    <row r="252" ht="15" customHeight="1">
      <c r="A252" t="s" s="13">
        <v>321</v>
      </c>
      <c r="B252" t="s" s="14">
        <v>308</v>
      </c>
      <c r="C252" s="15">
        <v>298</v>
      </c>
      <c r="D252" s="15">
        <v>95</v>
      </c>
      <c r="E252" s="15">
        <v>69</v>
      </c>
      <c r="F252" s="16" cm="1">
        <f t="array" ref="F252">ROUND(D252/E252,1)</f>
        <v>1.4</v>
      </c>
      <c r="G252" t="s" s="13">
        <v>105</v>
      </c>
      <c r="H252" s="15">
        <v>298</v>
      </c>
      <c r="I252" s="17">
        <v>0.89</v>
      </c>
      <c r="J252" s="15">
        <v>1472</v>
      </c>
      <c r="K252" s="15" cm="1">
        <f t="array" ref="K252">ROUND(H252*I252,0)</f>
        <v>265</v>
      </c>
      <c r="L252" s="15" cm="1">
        <f t="array" ref="L252">K252*J252</f>
        <v>390080</v>
      </c>
      <c r="M252" s="15">
        <v>17438</v>
      </c>
      <c r="N252" s="15" cm="1">
        <f t="array" ref="N252">D252*M252</f>
        <v>1656610</v>
      </c>
      <c r="O252" t="s" s="14">
        <v>40</v>
      </c>
    </row>
    <row r="253" ht="15" customHeight="1">
      <c r="A253" t="s" s="3">
        <v>322</v>
      </c>
      <c r="B253" t="s" s="4">
        <v>323</v>
      </c>
      <c r="C253" s="5">
        <v>316</v>
      </c>
      <c r="D253" s="5">
        <v>0</v>
      </c>
      <c r="E253" s="5">
        <v>109</v>
      </c>
      <c r="F253" s="6">
        <v>0</v>
      </c>
      <c r="G253" t="s" s="3">
        <v>79</v>
      </c>
      <c r="H253" s="5">
        <v>252</v>
      </c>
      <c r="I253" s="7">
        <v>0.16</v>
      </c>
      <c r="J253" s="5">
        <v>1132</v>
      </c>
      <c r="K253" s="5" cm="1">
        <f t="array" ref="K253">ROUND(H253*I253,0)</f>
        <v>40</v>
      </c>
      <c r="L253" s="5" cm="1">
        <f t="array" ref="L253">K253*J253</f>
        <v>45280</v>
      </c>
      <c r="M253" s="5">
        <v>14000</v>
      </c>
      <c r="N253" s="5" cm="1">
        <f t="array" ref="N253">D253*M253</f>
        <v>0</v>
      </c>
      <c r="O253" t="s" s="4">
        <v>18</v>
      </c>
    </row>
    <row r="254" ht="15" customHeight="1">
      <c r="A254" t="s" s="3">
        <v>324</v>
      </c>
      <c r="B254" t="s" s="4">
        <v>323</v>
      </c>
      <c r="C254" s="5">
        <v>440</v>
      </c>
      <c r="D254" s="5">
        <v>0</v>
      </c>
      <c r="E254" s="5">
        <v>109</v>
      </c>
      <c r="F254" s="6">
        <v>0</v>
      </c>
      <c r="G254" t="s" s="3">
        <v>30</v>
      </c>
      <c r="H254" s="5">
        <v>528</v>
      </c>
      <c r="I254" s="7">
        <v>0.16</v>
      </c>
      <c r="J254" s="5">
        <v>1148</v>
      </c>
      <c r="K254" s="5" cm="1">
        <f t="array" ref="K254">ROUND(H254*I254,0)</f>
        <v>84</v>
      </c>
      <c r="L254" s="5" cm="1">
        <f t="array" ref="L254">K254*J254</f>
        <v>96432</v>
      </c>
      <c r="M254" s="5">
        <v>14000</v>
      </c>
      <c r="N254" s="5" cm="1">
        <f t="array" ref="N254">D254*M254</f>
        <v>0</v>
      </c>
      <c r="O254" t="s" s="4">
        <v>18</v>
      </c>
    </row>
    <row r="255" ht="15" customHeight="1">
      <c r="A255" t="s" s="3">
        <v>325</v>
      </c>
      <c r="B255" t="s" s="4">
        <v>323</v>
      </c>
      <c r="C255" s="5">
        <v>302</v>
      </c>
      <c r="D255" s="5">
        <v>0</v>
      </c>
      <c r="E255" s="5">
        <v>109</v>
      </c>
      <c r="F255" s="6">
        <v>0</v>
      </c>
      <c r="G255" t="s" s="3">
        <v>102</v>
      </c>
      <c r="H255" s="5">
        <v>302</v>
      </c>
      <c r="I255" s="7">
        <v>0.17</v>
      </c>
      <c r="J255" s="5">
        <v>1305</v>
      </c>
      <c r="K255" s="5" cm="1">
        <f t="array" ref="K255">ROUND(H255*I255,0)</f>
        <v>51</v>
      </c>
      <c r="L255" s="5" cm="1">
        <f t="array" ref="L255">K255*J255</f>
        <v>66555</v>
      </c>
      <c r="M255" s="5">
        <v>14350</v>
      </c>
      <c r="N255" s="5" cm="1">
        <f t="array" ref="N255">D255*M255</f>
        <v>0</v>
      </c>
      <c r="O255" t="s" s="4">
        <v>18</v>
      </c>
    </row>
    <row r="256" ht="15" customHeight="1">
      <c r="A256" t="s" s="3">
        <v>326</v>
      </c>
      <c r="B256" t="s" s="4">
        <v>323</v>
      </c>
      <c r="C256" s="5">
        <v>459</v>
      </c>
      <c r="D256" s="5">
        <v>0</v>
      </c>
      <c r="E256" s="5">
        <v>109</v>
      </c>
      <c r="F256" s="6">
        <v>0</v>
      </c>
      <c r="G256" t="s" s="3">
        <v>79</v>
      </c>
      <c r="H256" s="5">
        <v>459</v>
      </c>
      <c r="I256" s="7">
        <v>0.18</v>
      </c>
      <c r="J256" s="5">
        <v>1431</v>
      </c>
      <c r="K256" s="5" cm="1">
        <f t="array" ref="K256">ROUND(H256*I256,0)</f>
        <v>83</v>
      </c>
      <c r="L256" s="5" cm="1">
        <f t="array" ref="L256">K256*J256</f>
        <v>118773</v>
      </c>
      <c r="M256" s="5">
        <v>14350</v>
      </c>
      <c r="N256" s="5" cm="1">
        <f t="array" ref="N256">D256*M256</f>
        <v>0</v>
      </c>
      <c r="O256" t="s" s="4">
        <v>18</v>
      </c>
    </row>
    <row r="257" ht="15" customHeight="1">
      <c r="A257" t="s" s="3">
        <v>327</v>
      </c>
      <c r="B257" t="s" s="4">
        <v>323</v>
      </c>
      <c r="C257" s="5">
        <v>330</v>
      </c>
      <c r="D257" s="5">
        <v>0</v>
      </c>
      <c r="E257" s="5">
        <v>109</v>
      </c>
      <c r="F257" s="6">
        <v>0</v>
      </c>
      <c r="G257" t="s" s="3">
        <v>63</v>
      </c>
      <c r="H257" s="5">
        <v>330</v>
      </c>
      <c r="I257" s="7">
        <v>0.17</v>
      </c>
      <c r="J257" s="5">
        <v>1353</v>
      </c>
      <c r="K257" s="5" cm="1">
        <f t="array" ref="K257">ROUND(H257*I257,0)</f>
        <v>56</v>
      </c>
      <c r="L257" s="5" cm="1">
        <f t="array" ref="L257">K257*J257</f>
        <v>75768</v>
      </c>
      <c r="M257" s="5">
        <v>14350</v>
      </c>
      <c r="N257" s="5" cm="1">
        <f t="array" ref="N257">D257*M257</f>
        <v>0</v>
      </c>
      <c r="O257" t="s" s="4">
        <v>18</v>
      </c>
    </row>
    <row r="258" ht="15" customHeight="1">
      <c r="A258" t="s" s="3">
        <v>328</v>
      </c>
      <c r="B258" t="s" s="4">
        <v>323</v>
      </c>
      <c r="C258" s="5">
        <v>303</v>
      </c>
      <c r="D258" s="5">
        <v>0</v>
      </c>
      <c r="E258" s="5">
        <v>109</v>
      </c>
      <c r="F258" s="6">
        <v>0</v>
      </c>
      <c r="G258" t="s" s="3">
        <v>130</v>
      </c>
      <c r="H258" s="5">
        <v>242</v>
      </c>
      <c r="I258" s="7">
        <v>0.17</v>
      </c>
      <c r="J258" s="5">
        <v>1314</v>
      </c>
      <c r="K258" s="5" cm="1">
        <f t="array" ref="K258">ROUND(H258*I258,0)</f>
        <v>41</v>
      </c>
      <c r="L258" s="5" cm="1">
        <f t="array" ref="L258">K258*J258</f>
        <v>53874</v>
      </c>
      <c r="M258" s="5">
        <v>14700</v>
      </c>
      <c r="N258" s="5" cm="1">
        <f t="array" ref="N258">D258*M258</f>
        <v>0</v>
      </c>
      <c r="O258" t="s" s="4">
        <v>18</v>
      </c>
    </row>
    <row r="259" ht="15" customHeight="1">
      <c r="A259" t="s" s="3">
        <v>329</v>
      </c>
      <c r="B259" t="s" s="4">
        <v>323</v>
      </c>
      <c r="C259" s="5">
        <v>328</v>
      </c>
      <c r="D259" s="5">
        <v>0</v>
      </c>
      <c r="E259" s="5">
        <v>109</v>
      </c>
      <c r="F259" s="6">
        <v>0</v>
      </c>
      <c r="G259" t="s" s="3">
        <v>81</v>
      </c>
      <c r="H259" s="5">
        <v>393</v>
      </c>
      <c r="I259" s="7">
        <v>0.17</v>
      </c>
      <c r="J259" s="5">
        <v>1293</v>
      </c>
      <c r="K259" s="5" cm="1">
        <f t="array" ref="K259">ROUND(H259*I259,0)</f>
        <v>67</v>
      </c>
      <c r="L259" s="5" cm="1">
        <f t="array" ref="L259">K259*J259</f>
        <v>86631</v>
      </c>
      <c r="M259" s="5">
        <v>14700</v>
      </c>
      <c r="N259" s="5" cm="1">
        <f t="array" ref="N259">D259*M259</f>
        <v>0</v>
      </c>
      <c r="O259" t="s" s="4">
        <v>18</v>
      </c>
    </row>
    <row r="260" ht="15" customHeight="1">
      <c r="A260" t="s" s="3">
        <v>330</v>
      </c>
      <c r="B260" t="s" s="4">
        <v>323</v>
      </c>
      <c r="C260" s="5">
        <v>351</v>
      </c>
      <c r="D260" s="5">
        <v>0</v>
      </c>
      <c r="E260" s="5">
        <v>109</v>
      </c>
      <c r="F260" s="6">
        <v>0</v>
      </c>
      <c r="G260" t="s" s="3">
        <v>37</v>
      </c>
      <c r="H260" s="5">
        <v>280</v>
      </c>
      <c r="I260" s="7">
        <v>0.19</v>
      </c>
      <c r="J260" s="5">
        <v>1326</v>
      </c>
      <c r="K260" s="5" cm="1">
        <f t="array" ref="K260">ROUND(H260*I260,0)</f>
        <v>53</v>
      </c>
      <c r="L260" s="5" cm="1">
        <f t="array" ref="L260">K260*J260</f>
        <v>70278</v>
      </c>
      <c r="M260" s="5">
        <v>15050</v>
      </c>
      <c r="N260" s="5" cm="1">
        <f t="array" ref="N260">D260*M260</f>
        <v>0</v>
      </c>
      <c r="O260" t="s" s="4">
        <v>18</v>
      </c>
    </row>
    <row r="261" ht="15" customHeight="1">
      <c r="A261" t="s" s="3">
        <v>331</v>
      </c>
      <c r="B261" t="s" s="4">
        <v>323</v>
      </c>
      <c r="C261" s="5">
        <v>433</v>
      </c>
      <c r="D261" s="5">
        <v>0</v>
      </c>
      <c r="E261" s="5">
        <v>109</v>
      </c>
      <c r="F261" s="6">
        <v>0</v>
      </c>
      <c r="G261" t="s" s="3">
        <v>28</v>
      </c>
      <c r="H261" s="5">
        <v>433</v>
      </c>
      <c r="I261" s="7">
        <v>0.19</v>
      </c>
      <c r="J261" s="5">
        <v>1382</v>
      </c>
      <c r="K261" s="5" cm="1">
        <f t="array" ref="K261">ROUND(H261*I261,0)</f>
        <v>82</v>
      </c>
      <c r="L261" s="5" cm="1">
        <f t="array" ref="L261">K261*J261</f>
        <v>113324</v>
      </c>
      <c r="M261" s="5">
        <v>15050</v>
      </c>
      <c r="N261" s="5" cm="1">
        <f t="array" ref="N261">D261*M261</f>
        <v>0</v>
      </c>
      <c r="O261" t="s" s="4">
        <v>18</v>
      </c>
    </row>
    <row r="262" ht="15" customHeight="1">
      <c r="A262" t="s" s="13">
        <v>332</v>
      </c>
      <c r="B262" t="s" s="14">
        <v>323</v>
      </c>
      <c r="C262" s="15">
        <v>345</v>
      </c>
      <c r="D262" s="15">
        <v>15</v>
      </c>
      <c r="E262" s="15">
        <v>109</v>
      </c>
      <c r="F262" s="16" cm="1">
        <f t="array" ref="F262">ROUND(D262/E262,1)</f>
        <v>0.1</v>
      </c>
      <c r="G262" t="s" s="13">
        <v>17</v>
      </c>
      <c r="H262" s="15">
        <v>345</v>
      </c>
      <c r="I262" s="17">
        <v>0.16</v>
      </c>
      <c r="J262" s="15">
        <v>1466</v>
      </c>
      <c r="K262" s="15" cm="1">
        <f t="array" ref="K262">ROUND(H262*I262,0)</f>
        <v>55</v>
      </c>
      <c r="L262" s="15" cm="1">
        <f t="array" ref="L262">K262*J262</f>
        <v>80630</v>
      </c>
      <c r="M262" s="15">
        <v>15400</v>
      </c>
      <c r="N262" s="15" cm="1">
        <f t="array" ref="N262">D262*M262</f>
        <v>231000</v>
      </c>
      <c r="O262" t="s" s="14">
        <v>40</v>
      </c>
    </row>
    <row r="263" ht="15" customHeight="1">
      <c r="A263" t="s" s="13">
        <v>333</v>
      </c>
      <c r="B263" t="s" s="14">
        <v>323</v>
      </c>
      <c r="C263" s="15">
        <v>371</v>
      </c>
      <c r="D263" s="15">
        <v>42</v>
      </c>
      <c r="E263" s="15">
        <v>109</v>
      </c>
      <c r="F263" s="16" cm="1">
        <f t="array" ref="F263">ROUND(D263/E263,1)</f>
        <v>0.4</v>
      </c>
      <c r="G263" t="s" s="13">
        <v>61</v>
      </c>
      <c r="H263" s="15">
        <v>371</v>
      </c>
      <c r="I263" s="17">
        <v>0.19</v>
      </c>
      <c r="J263" s="15">
        <v>1372</v>
      </c>
      <c r="K263" s="15" cm="1">
        <f t="array" ref="K263">ROUND(H263*I263,0)</f>
        <v>70</v>
      </c>
      <c r="L263" s="15" cm="1">
        <f t="array" ref="L263">K263*J263</f>
        <v>96040</v>
      </c>
      <c r="M263" s="15">
        <v>15400</v>
      </c>
      <c r="N263" s="15" cm="1">
        <f t="array" ref="N263">D263*M263</f>
        <v>646800</v>
      </c>
      <c r="O263" t="s" s="14">
        <v>40</v>
      </c>
    </row>
    <row r="264" ht="15" customHeight="1">
      <c r="A264" t="s" s="13">
        <v>334</v>
      </c>
      <c r="B264" t="s" s="14">
        <v>323</v>
      </c>
      <c r="C264" s="15">
        <v>310</v>
      </c>
      <c r="D264" s="15">
        <v>246</v>
      </c>
      <c r="E264" s="15">
        <v>109</v>
      </c>
      <c r="F264" s="16" cm="1">
        <f t="array" ref="F264">ROUND(D264/E264,1)</f>
        <v>2.3</v>
      </c>
      <c r="G264" t="s" s="13">
        <v>17</v>
      </c>
      <c r="H264" s="15">
        <v>310</v>
      </c>
      <c r="I264" s="17">
        <v>0.21</v>
      </c>
      <c r="J264" s="15">
        <v>1389</v>
      </c>
      <c r="K264" s="15" cm="1">
        <f t="array" ref="K264">ROUND(H264*I264,0)</f>
        <v>65</v>
      </c>
      <c r="L264" s="15" cm="1">
        <f t="array" ref="L264">K264*J264</f>
        <v>90285</v>
      </c>
      <c r="M264" s="15">
        <v>15400</v>
      </c>
      <c r="N264" s="15" cm="1">
        <f t="array" ref="N264">D264*M264</f>
        <v>3788400</v>
      </c>
      <c r="O264" t="s" s="14">
        <v>40</v>
      </c>
    </row>
    <row r="265" ht="15" customHeight="1">
      <c r="A265" t="s" s="3">
        <v>335</v>
      </c>
      <c r="B265" t="s" s="4">
        <v>336</v>
      </c>
      <c r="C265" s="5">
        <v>58</v>
      </c>
      <c r="D265" s="5">
        <v>0</v>
      </c>
      <c r="E265" s="5">
        <v>21</v>
      </c>
      <c r="F265" s="6">
        <v>0</v>
      </c>
      <c r="G265" t="s" s="3">
        <v>68</v>
      </c>
      <c r="H265" s="5">
        <v>58</v>
      </c>
      <c r="I265" s="7">
        <v>1.76</v>
      </c>
      <c r="J265" s="5">
        <v>1140</v>
      </c>
      <c r="K265" s="5" cm="1">
        <f t="array" ref="K265">ROUND(H265*I265,0)</f>
        <v>102</v>
      </c>
      <c r="L265" s="5" cm="1">
        <f t="array" ref="L265">K265*J265</f>
        <v>116280</v>
      </c>
      <c r="M265" s="5">
        <v>40000</v>
      </c>
      <c r="N265" s="5" cm="1">
        <f t="array" ref="N265">D265*M265</f>
        <v>0</v>
      </c>
      <c r="O265" t="s" s="4">
        <v>18</v>
      </c>
    </row>
    <row r="266" ht="15" customHeight="1">
      <c r="A266" t="s" s="3">
        <v>337</v>
      </c>
      <c r="B266" t="s" s="4">
        <v>336</v>
      </c>
      <c r="C266" s="5">
        <v>59</v>
      </c>
      <c r="D266" s="5">
        <v>0</v>
      </c>
      <c r="E266" s="5">
        <v>21</v>
      </c>
      <c r="F266" s="6">
        <v>0</v>
      </c>
      <c r="G266" t="s" s="3">
        <v>105</v>
      </c>
      <c r="H266" s="5">
        <v>59</v>
      </c>
      <c r="I266" s="7">
        <v>1.77</v>
      </c>
      <c r="J266" s="5">
        <v>1179</v>
      </c>
      <c r="K266" s="5" cm="1">
        <f t="array" ref="K266">ROUND(H266*I266,0)</f>
        <v>104</v>
      </c>
      <c r="L266" s="5" cm="1">
        <f t="array" ref="L266">K266*J266</f>
        <v>122616</v>
      </c>
      <c r="M266" s="5">
        <v>40000</v>
      </c>
      <c r="N266" s="5" cm="1">
        <f t="array" ref="N266">D266*M266</f>
        <v>0</v>
      </c>
      <c r="O266" t="s" s="4">
        <v>18</v>
      </c>
    </row>
    <row r="267" ht="15" customHeight="1">
      <c r="A267" t="s" s="3">
        <v>338</v>
      </c>
      <c r="B267" t="s" s="4">
        <v>336</v>
      </c>
      <c r="C267" s="5">
        <v>103</v>
      </c>
      <c r="D267" s="5">
        <v>0</v>
      </c>
      <c r="E267" s="5">
        <v>21</v>
      </c>
      <c r="F267" s="6">
        <v>0</v>
      </c>
      <c r="G267" t="s" s="3">
        <v>37</v>
      </c>
      <c r="H267" s="5">
        <v>103</v>
      </c>
      <c r="I267" s="7">
        <v>1.74</v>
      </c>
      <c r="J267" s="5">
        <v>1198</v>
      </c>
      <c r="K267" s="5" cm="1">
        <f t="array" ref="K267">ROUND(H267*I267,0)</f>
        <v>179</v>
      </c>
      <c r="L267" s="5" cm="1">
        <f t="array" ref="L267">K267*J267</f>
        <v>214442</v>
      </c>
      <c r="M267" s="5">
        <v>41000</v>
      </c>
      <c r="N267" s="5" cm="1">
        <f t="array" ref="N267">D267*M267</f>
        <v>0</v>
      </c>
      <c r="O267" t="s" s="4">
        <v>18</v>
      </c>
    </row>
    <row r="268" ht="15" customHeight="1">
      <c r="A268" t="s" s="3">
        <v>339</v>
      </c>
      <c r="B268" t="s" s="4">
        <v>336</v>
      </c>
      <c r="C268" s="5">
        <v>104</v>
      </c>
      <c r="D268" s="5">
        <v>0</v>
      </c>
      <c r="E268" s="5">
        <v>21</v>
      </c>
      <c r="F268" s="6">
        <v>0</v>
      </c>
      <c r="G268" t="s" s="3">
        <v>83</v>
      </c>
      <c r="H268" s="5">
        <v>83</v>
      </c>
      <c r="I268" s="7">
        <v>1.81</v>
      </c>
      <c r="J268" s="5">
        <v>1313</v>
      </c>
      <c r="K268" s="5" cm="1">
        <f t="array" ref="K268">ROUND(H268*I268,0)</f>
        <v>150</v>
      </c>
      <c r="L268" s="5" cm="1">
        <f t="array" ref="L268">K268*J268</f>
        <v>196950</v>
      </c>
      <c r="M268" s="5">
        <v>41000</v>
      </c>
      <c r="N268" s="5" cm="1">
        <f t="array" ref="N268">D268*M268</f>
        <v>0</v>
      </c>
      <c r="O268" t="s" s="4">
        <v>18</v>
      </c>
    </row>
    <row r="269" ht="15" customHeight="1">
      <c r="A269" t="s" s="3">
        <v>340</v>
      </c>
      <c r="B269" t="s" s="4">
        <v>336</v>
      </c>
      <c r="C269" s="5">
        <v>55</v>
      </c>
      <c r="D269" s="5">
        <v>0</v>
      </c>
      <c r="E269" s="5">
        <v>21</v>
      </c>
      <c r="F269" s="6">
        <v>0</v>
      </c>
      <c r="G269" t="s" s="3">
        <v>24</v>
      </c>
      <c r="H269" s="5">
        <v>44</v>
      </c>
      <c r="I269" s="7">
        <v>1.72</v>
      </c>
      <c r="J269" s="5">
        <v>1231</v>
      </c>
      <c r="K269" s="5" cm="1">
        <f t="array" ref="K269">ROUND(H269*I269,0)</f>
        <v>76</v>
      </c>
      <c r="L269" s="5" cm="1">
        <f t="array" ref="L269">K269*J269</f>
        <v>93556</v>
      </c>
      <c r="M269" s="5">
        <v>42000</v>
      </c>
      <c r="N269" s="5" cm="1">
        <f t="array" ref="N269">D269*M269</f>
        <v>0</v>
      </c>
      <c r="O269" t="s" s="4">
        <v>18</v>
      </c>
    </row>
    <row r="270" ht="15" customHeight="1">
      <c r="A270" t="s" s="3">
        <v>341</v>
      </c>
      <c r="B270" t="s" s="4">
        <v>336</v>
      </c>
      <c r="C270" s="5">
        <v>54</v>
      </c>
      <c r="D270" s="5">
        <v>0</v>
      </c>
      <c r="E270" s="5">
        <v>21</v>
      </c>
      <c r="F270" s="6">
        <v>0</v>
      </c>
      <c r="G270" t="s" s="3">
        <v>95</v>
      </c>
      <c r="H270" s="5">
        <v>54</v>
      </c>
      <c r="I270" s="7">
        <v>1.83</v>
      </c>
      <c r="J270" s="5">
        <v>1300</v>
      </c>
      <c r="K270" s="5" cm="1">
        <f t="array" ref="K270">ROUND(H270*I270,0)</f>
        <v>99</v>
      </c>
      <c r="L270" s="5" cm="1">
        <f t="array" ref="L270">K270*J270</f>
        <v>128700</v>
      </c>
      <c r="M270" s="5">
        <v>42000</v>
      </c>
      <c r="N270" s="5" cm="1">
        <f t="array" ref="N270">D270*M270</f>
        <v>0</v>
      </c>
      <c r="O270" t="s" s="4">
        <v>18</v>
      </c>
    </row>
    <row r="271" ht="15" customHeight="1">
      <c r="A271" t="s" s="3">
        <v>342</v>
      </c>
      <c r="B271" t="s" s="4">
        <v>336</v>
      </c>
      <c r="C271" s="5">
        <v>101</v>
      </c>
      <c r="D271" s="5">
        <v>0</v>
      </c>
      <c r="E271" s="5">
        <v>21</v>
      </c>
      <c r="F271" s="6">
        <v>0</v>
      </c>
      <c r="G271" t="s" s="3">
        <v>26</v>
      </c>
      <c r="H271" s="5">
        <v>121</v>
      </c>
      <c r="I271" s="7">
        <v>1.79</v>
      </c>
      <c r="J271" s="5">
        <v>1319</v>
      </c>
      <c r="K271" s="5" cm="1">
        <f t="array" ref="K271">ROUND(H271*I271,0)</f>
        <v>217</v>
      </c>
      <c r="L271" s="5" cm="1">
        <f t="array" ref="L271">K271*J271</f>
        <v>286223</v>
      </c>
      <c r="M271" s="5">
        <v>42000</v>
      </c>
      <c r="N271" s="5" cm="1">
        <f t="array" ref="N271">D271*M271</f>
        <v>0</v>
      </c>
      <c r="O271" t="s" s="4">
        <v>18</v>
      </c>
    </row>
    <row r="272" ht="15" customHeight="1">
      <c r="A272" t="s" s="3">
        <v>343</v>
      </c>
      <c r="B272" t="s" s="4">
        <v>336</v>
      </c>
      <c r="C272" s="5">
        <v>89</v>
      </c>
      <c r="D272" s="5">
        <v>0</v>
      </c>
      <c r="E272" s="5">
        <v>21</v>
      </c>
      <c r="F272" s="6">
        <v>0</v>
      </c>
      <c r="G272" t="s" s="3">
        <v>32</v>
      </c>
      <c r="H272" s="5">
        <v>71</v>
      </c>
      <c r="I272" s="7">
        <v>1.92</v>
      </c>
      <c r="J272" s="5">
        <v>1340</v>
      </c>
      <c r="K272" s="5" cm="1">
        <f t="array" ref="K272">ROUND(H272*I272,0)</f>
        <v>136</v>
      </c>
      <c r="L272" s="5" cm="1">
        <f t="array" ref="L272">K272*J272</f>
        <v>182240</v>
      </c>
      <c r="M272" s="5">
        <v>43000</v>
      </c>
      <c r="N272" s="5" cm="1">
        <f t="array" ref="N272">D272*M272</f>
        <v>0</v>
      </c>
      <c r="O272" t="s" s="4">
        <v>18</v>
      </c>
    </row>
    <row r="273" ht="15" customHeight="1">
      <c r="A273" t="s" s="3">
        <v>344</v>
      </c>
      <c r="B273" t="s" s="4">
        <v>336</v>
      </c>
      <c r="C273" s="5">
        <v>95</v>
      </c>
      <c r="D273" s="5">
        <v>0</v>
      </c>
      <c r="E273" s="5">
        <v>21</v>
      </c>
      <c r="F273" s="6">
        <v>0</v>
      </c>
      <c r="G273" t="s" s="3">
        <v>68</v>
      </c>
      <c r="H273" s="5">
        <v>95</v>
      </c>
      <c r="I273" s="7">
        <v>1.95</v>
      </c>
      <c r="J273" s="5">
        <v>1371</v>
      </c>
      <c r="K273" s="5" cm="1">
        <f t="array" ref="K273">ROUND(H273*I273,0)</f>
        <v>185</v>
      </c>
      <c r="L273" s="5" cm="1">
        <f t="array" ref="L273">K273*J273</f>
        <v>253635</v>
      </c>
      <c r="M273" s="5">
        <v>43000</v>
      </c>
      <c r="N273" s="5" cm="1">
        <f t="array" ref="N273">D273*M273</f>
        <v>0</v>
      </c>
      <c r="O273" t="s" s="4">
        <v>18</v>
      </c>
    </row>
    <row r="274" ht="15" customHeight="1">
      <c r="A274" t="s" s="13">
        <v>345</v>
      </c>
      <c r="B274" t="s" s="14">
        <v>336</v>
      </c>
      <c r="C274" s="15">
        <v>64</v>
      </c>
      <c r="D274" s="15">
        <v>2</v>
      </c>
      <c r="E274" s="15">
        <v>21</v>
      </c>
      <c r="F274" s="16" cm="1">
        <f t="array" ref="F274">ROUND(D274/E274,1)</f>
        <v>0.1</v>
      </c>
      <c r="G274" t="s" s="13">
        <v>63</v>
      </c>
      <c r="H274" s="15">
        <v>76</v>
      </c>
      <c r="I274" s="17">
        <v>1.85</v>
      </c>
      <c r="J274" s="15">
        <v>1470</v>
      </c>
      <c r="K274" s="15" cm="1">
        <f t="array" ref="K274">ROUND(H274*I274,0)</f>
        <v>141</v>
      </c>
      <c r="L274" s="15" cm="1">
        <f t="array" ref="L274">K274*J274</f>
        <v>207270</v>
      </c>
      <c r="M274" s="15">
        <v>43000</v>
      </c>
      <c r="N274" s="15" cm="1">
        <f t="array" ref="N274">D274*M274</f>
        <v>86000</v>
      </c>
      <c r="O274" t="s" s="14">
        <v>40</v>
      </c>
    </row>
    <row r="275" ht="15" customHeight="1">
      <c r="A275" t="s" s="13">
        <v>346</v>
      </c>
      <c r="B275" t="s" s="14">
        <v>336</v>
      </c>
      <c r="C275" s="15">
        <v>99</v>
      </c>
      <c r="D275" s="15">
        <v>35</v>
      </c>
      <c r="E275" s="15">
        <v>21</v>
      </c>
      <c r="F275" s="16" cm="1">
        <f t="array" ref="F275">ROUND(D275/E275,1)</f>
        <v>1.7</v>
      </c>
      <c r="G275" t="s" s="13">
        <v>63</v>
      </c>
      <c r="H275" s="15">
        <v>99</v>
      </c>
      <c r="I275" s="17">
        <v>1.83</v>
      </c>
      <c r="J275" s="15">
        <v>1396</v>
      </c>
      <c r="K275" s="15" cm="1">
        <f t="array" ref="K275">ROUND(H275*I275,0)</f>
        <v>181</v>
      </c>
      <c r="L275" s="15" cm="1">
        <f t="array" ref="L275">K275*J275</f>
        <v>252676</v>
      </c>
      <c r="M275" s="15">
        <v>44000</v>
      </c>
      <c r="N275" s="15" cm="1">
        <f t="array" ref="N275">D275*M275</f>
        <v>1540000</v>
      </c>
      <c r="O275" t="s" s="14">
        <v>40</v>
      </c>
    </row>
    <row r="276" ht="15" customHeight="1">
      <c r="A276" t="s" s="13">
        <v>347</v>
      </c>
      <c r="B276" t="s" s="14">
        <v>336</v>
      </c>
      <c r="C276" s="15">
        <v>101</v>
      </c>
      <c r="D276" s="15">
        <v>74</v>
      </c>
      <c r="E276" s="15">
        <v>21</v>
      </c>
      <c r="F276" s="16" cm="1">
        <f t="array" ref="F276">ROUND(D276/E276,1)</f>
        <v>3.5</v>
      </c>
      <c r="G276" t="s" s="13">
        <v>26</v>
      </c>
      <c r="H276" s="15">
        <v>80</v>
      </c>
      <c r="I276" s="17">
        <v>1.76</v>
      </c>
      <c r="J276" s="15">
        <v>1418</v>
      </c>
      <c r="K276" s="15" cm="1">
        <f t="array" ref="K276">ROUND(H276*I276,0)</f>
        <v>141</v>
      </c>
      <c r="L276" s="15" cm="1">
        <f t="array" ref="L276">K276*J276</f>
        <v>199938</v>
      </c>
      <c r="M276" s="15">
        <v>44000</v>
      </c>
      <c r="N276" s="15" cm="1">
        <f t="array" ref="N276">D276*M276</f>
        <v>3256000</v>
      </c>
      <c r="O276" t="s" s="14">
        <v>40</v>
      </c>
    </row>
    <row r="277" ht="15" customHeight="1">
      <c r="A277" t="s" s="13">
        <v>348</v>
      </c>
      <c r="B277" t="s" s="14">
        <v>336</v>
      </c>
      <c r="C277" s="15">
        <v>99</v>
      </c>
      <c r="D277" s="15">
        <v>76</v>
      </c>
      <c r="E277" s="15">
        <v>21</v>
      </c>
      <c r="F277" s="16" cm="1">
        <f t="array" ref="F277">ROUND(D277/E277,1)</f>
        <v>3.6</v>
      </c>
      <c r="G277" t="s" s="13">
        <v>68</v>
      </c>
      <c r="H277" s="15">
        <v>99</v>
      </c>
      <c r="I277" s="17">
        <v>1.89</v>
      </c>
      <c r="J277" s="15">
        <v>1467</v>
      </c>
      <c r="K277" s="15" cm="1">
        <f t="array" ref="K277">ROUND(H277*I277,0)</f>
        <v>187</v>
      </c>
      <c r="L277" s="15" cm="1">
        <f t="array" ref="L277">K277*J277</f>
        <v>274329</v>
      </c>
      <c r="M277" s="15">
        <v>45000</v>
      </c>
      <c r="N277" s="15" cm="1">
        <f t="array" ref="N277">D277*M277</f>
        <v>3420000</v>
      </c>
      <c r="O277" t="s" s="14">
        <v>40</v>
      </c>
    </row>
    <row r="278" ht="15" customHeight="1">
      <c r="A278" t="s" s="3">
        <v>349</v>
      </c>
      <c r="B278" t="s" s="4">
        <v>350</v>
      </c>
      <c r="C278" s="5">
        <v>557</v>
      </c>
      <c r="D278" s="5">
        <v>0</v>
      </c>
      <c r="E278" s="5">
        <v>195</v>
      </c>
      <c r="F278" s="6">
        <v>0</v>
      </c>
      <c r="G278" t="s" s="3">
        <v>81</v>
      </c>
      <c r="H278" s="5">
        <v>668</v>
      </c>
      <c r="I278" s="7">
        <v>0.18</v>
      </c>
      <c r="J278" s="5">
        <v>1090</v>
      </c>
      <c r="K278" s="5" cm="1">
        <f t="array" ref="K278">ROUND(H278*I278,0)</f>
        <v>120</v>
      </c>
      <c r="L278" s="5" cm="1">
        <f t="array" ref="L278">K278*J278</f>
        <v>130800</v>
      </c>
      <c r="M278" s="5">
        <v>11500</v>
      </c>
      <c r="N278" s="5" cm="1">
        <f t="array" ref="N278">D278*M278</f>
        <v>0</v>
      </c>
      <c r="O278" t="s" s="4">
        <v>18</v>
      </c>
    </row>
    <row r="279" ht="15" customHeight="1">
      <c r="A279" t="s" s="3">
        <v>351</v>
      </c>
      <c r="B279" t="s" s="4">
        <v>350</v>
      </c>
      <c r="C279" s="5">
        <v>548</v>
      </c>
      <c r="D279" s="5">
        <v>0</v>
      </c>
      <c r="E279" s="5">
        <v>195</v>
      </c>
      <c r="F279" s="6">
        <v>0</v>
      </c>
      <c r="G279" t="s" s="3">
        <v>57</v>
      </c>
      <c r="H279" s="5">
        <v>438</v>
      </c>
      <c r="I279" s="7">
        <v>0.18</v>
      </c>
      <c r="J279" s="5">
        <v>1148</v>
      </c>
      <c r="K279" s="5" cm="1">
        <f t="array" ref="K279">ROUND(H279*I279,0)</f>
        <v>79</v>
      </c>
      <c r="L279" s="5" cm="1">
        <f t="array" ref="L279">K279*J279</f>
        <v>90692</v>
      </c>
      <c r="M279" s="5">
        <v>11500</v>
      </c>
      <c r="N279" s="5" cm="1">
        <f t="array" ref="N279">D279*M279</f>
        <v>0</v>
      </c>
      <c r="O279" t="s" s="4">
        <v>18</v>
      </c>
    </row>
    <row r="280" ht="15" customHeight="1">
      <c r="A280" t="s" s="3">
        <v>352</v>
      </c>
      <c r="B280" t="s" s="4">
        <v>350</v>
      </c>
      <c r="C280" s="5">
        <v>435</v>
      </c>
      <c r="D280" s="5">
        <v>0</v>
      </c>
      <c r="E280" s="5">
        <v>195</v>
      </c>
      <c r="F280" s="6">
        <v>0</v>
      </c>
      <c r="G280" t="s" s="3">
        <v>32</v>
      </c>
      <c r="H280" s="5">
        <v>435</v>
      </c>
      <c r="I280" s="7">
        <v>0.18</v>
      </c>
      <c r="J280" s="5">
        <v>1190</v>
      </c>
      <c r="K280" s="5" cm="1">
        <f t="array" ref="K280">ROUND(H280*I280,0)</f>
        <v>78</v>
      </c>
      <c r="L280" s="5" cm="1">
        <f t="array" ref="L280">K280*J280</f>
        <v>92820</v>
      </c>
      <c r="M280" s="5">
        <v>11500</v>
      </c>
      <c r="N280" s="5" cm="1">
        <f t="array" ref="N280">D280*M280</f>
        <v>0</v>
      </c>
      <c r="O280" t="s" s="4">
        <v>18</v>
      </c>
    </row>
    <row r="281" ht="15" customHeight="1">
      <c r="A281" t="s" s="3">
        <v>353</v>
      </c>
      <c r="B281" t="s" s="4">
        <v>350</v>
      </c>
      <c r="C281" s="5">
        <v>524</v>
      </c>
      <c r="D281" s="5">
        <v>0</v>
      </c>
      <c r="E281" s="5">
        <v>195</v>
      </c>
      <c r="F281" s="6">
        <v>0</v>
      </c>
      <c r="G281" t="s" s="3">
        <v>22</v>
      </c>
      <c r="H281" s="5">
        <v>524</v>
      </c>
      <c r="I281" s="7">
        <v>0.19</v>
      </c>
      <c r="J281" s="5">
        <v>1205</v>
      </c>
      <c r="K281" s="5" cm="1">
        <f t="array" ref="K281">ROUND(H281*I281,0)</f>
        <v>100</v>
      </c>
      <c r="L281" s="5" cm="1">
        <f t="array" ref="L281">K281*J281</f>
        <v>120500</v>
      </c>
      <c r="M281" s="5">
        <v>11787</v>
      </c>
      <c r="N281" s="5" cm="1">
        <f t="array" ref="N281">D281*M281</f>
        <v>0</v>
      </c>
      <c r="O281" t="s" s="4">
        <v>18</v>
      </c>
    </row>
    <row r="282" ht="15" customHeight="1">
      <c r="A282" t="s" s="3">
        <v>354</v>
      </c>
      <c r="B282" t="s" s="4">
        <v>350</v>
      </c>
      <c r="C282" s="5">
        <v>501</v>
      </c>
      <c r="D282" s="5">
        <v>0</v>
      </c>
      <c r="E282" s="5">
        <v>195</v>
      </c>
      <c r="F282" s="6">
        <v>0</v>
      </c>
      <c r="G282" t="s" s="3">
        <v>32</v>
      </c>
      <c r="H282" s="5">
        <v>400</v>
      </c>
      <c r="I282" s="7">
        <v>0.19</v>
      </c>
      <c r="J282" s="5">
        <v>1206</v>
      </c>
      <c r="K282" s="5" cm="1">
        <f t="array" ref="K282">ROUND(H282*I282,0)</f>
        <v>76</v>
      </c>
      <c r="L282" s="5" cm="1">
        <f t="array" ref="L282">K282*J282</f>
        <v>91656</v>
      </c>
      <c r="M282" s="5">
        <v>11787</v>
      </c>
      <c r="N282" s="5" cm="1">
        <f t="array" ref="N282">D282*M282</f>
        <v>0</v>
      </c>
      <c r="O282" t="s" s="4">
        <v>18</v>
      </c>
    </row>
    <row r="283" ht="15" customHeight="1">
      <c r="A283" t="s" s="3">
        <v>355</v>
      </c>
      <c r="B283" t="s" s="4">
        <v>350</v>
      </c>
      <c r="C283" s="5">
        <v>483</v>
      </c>
      <c r="D283" s="5">
        <v>0</v>
      </c>
      <c r="E283" s="5">
        <v>195</v>
      </c>
      <c r="F283" s="6">
        <v>0</v>
      </c>
      <c r="G283" t="s" s="3">
        <v>105</v>
      </c>
      <c r="H283" s="5">
        <v>483</v>
      </c>
      <c r="I283" s="7">
        <v>0.2</v>
      </c>
      <c r="J283" s="5">
        <v>1275</v>
      </c>
      <c r="K283" s="5" cm="1">
        <f t="array" ref="K283">ROUND(H283*I283,0)</f>
        <v>97</v>
      </c>
      <c r="L283" s="5" cm="1">
        <f t="array" ref="L283">K283*J283</f>
        <v>123675</v>
      </c>
      <c r="M283" s="5">
        <v>12075</v>
      </c>
      <c r="N283" s="5" cm="1">
        <f t="array" ref="N283">D283*M283</f>
        <v>0</v>
      </c>
      <c r="O283" t="s" s="4">
        <v>18</v>
      </c>
    </row>
    <row r="284" ht="15" customHeight="1">
      <c r="A284" t="s" s="3">
        <v>356</v>
      </c>
      <c r="B284" t="s" s="4">
        <v>350</v>
      </c>
      <c r="C284" s="5">
        <v>587</v>
      </c>
      <c r="D284" s="5">
        <v>0</v>
      </c>
      <c r="E284" s="5">
        <v>195</v>
      </c>
      <c r="F284" s="6">
        <v>0</v>
      </c>
      <c r="G284" t="s" s="3">
        <v>37</v>
      </c>
      <c r="H284" s="5">
        <v>469</v>
      </c>
      <c r="I284" s="7">
        <v>0.19</v>
      </c>
      <c r="J284" s="5">
        <v>1348</v>
      </c>
      <c r="K284" s="5" cm="1">
        <f t="array" ref="K284">ROUND(H284*I284,0)</f>
        <v>89</v>
      </c>
      <c r="L284" s="5" cm="1">
        <f t="array" ref="L284">K284*J284</f>
        <v>119972</v>
      </c>
      <c r="M284" s="5">
        <v>12075</v>
      </c>
      <c r="N284" s="5" cm="1">
        <f t="array" ref="N284">D284*M284</f>
        <v>0</v>
      </c>
      <c r="O284" t="s" s="4">
        <v>18</v>
      </c>
    </row>
    <row r="285" ht="15" customHeight="1">
      <c r="A285" t="s" s="13">
        <v>357</v>
      </c>
      <c r="B285" t="s" s="14">
        <v>350</v>
      </c>
      <c r="C285" s="15">
        <v>477</v>
      </c>
      <c r="D285" s="15">
        <v>57</v>
      </c>
      <c r="E285" s="15">
        <v>195</v>
      </c>
      <c r="F285" s="16" cm="1">
        <f t="array" ref="F285">ROUND(D285/E285,1)</f>
        <v>0.3</v>
      </c>
      <c r="G285" t="s" s="13">
        <v>47</v>
      </c>
      <c r="H285" s="15">
        <v>477</v>
      </c>
      <c r="I285" s="17">
        <v>0.2</v>
      </c>
      <c r="J285" s="15">
        <v>1381</v>
      </c>
      <c r="K285" s="15" cm="1">
        <f t="array" ref="K285">ROUND(H285*I285,0)</f>
        <v>95</v>
      </c>
      <c r="L285" s="15" cm="1">
        <f t="array" ref="L285">K285*J285</f>
        <v>131195</v>
      </c>
      <c r="M285" s="15">
        <v>12362</v>
      </c>
      <c r="N285" s="15" cm="1">
        <f t="array" ref="N285">D285*M285</f>
        <v>704634</v>
      </c>
      <c r="O285" t="s" s="14">
        <v>40</v>
      </c>
    </row>
    <row r="286" ht="15" customHeight="1">
      <c r="A286" t="s" s="13">
        <v>358</v>
      </c>
      <c r="B286" t="s" s="14">
        <v>350</v>
      </c>
      <c r="C286" s="15">
        <v>571</v>
      </c>
      <c r="D286" s="15">
        <v>71</v>
      </c>
      <c r="E286" s="15">
        <v>195</v>
      </c>
      <c r="F286" s="16" cm="1">
        <f t="array" ref="F286">ROUND(D286/E286,1)</f>
        <v>0.4</v>
      </c>
      <c r="G286" t="s" s="13">
        <v>61</v>
      </c>
      <c r="H286" s="15">
        <v>571</v>
      </c>
      <c r="I286" s="17">
        <v>0.21</v>
      </c>
      <c r="J286" s="15">
        <v>1347</v>
      </c>
      <c r="K286" s="15" cm="1">
        <f t="array" ref="K286">ROUND(H286*I286,0)</f>
        <v>120</v>
      </c>
      <c r="L286" s="15" cm="1">
        <f t="array" ref="L286">K286*J286</f>
        <v>161640</v>
      </c>
      <c r="M286" s="15">
        <v>12362</v>
      </c>
      <c r="N286" s="15" cm="1">
        <f t="array" ref="N286">D286*M286</f>
        <v>877702</v>
      </c>
      <c r="O286" t="s" s="14">
        <v>40</v>
      </c>
    </row>
    <row r="287" ht="15" customHeight="1">
      <c r="A287" t="s" s="13">
        <v>359</v>
      </c>
      <c r="B287" t="s" s="14">
        <v>350</v>
      </c>
      <c r="C287" s="15">
        <v>646</v>
      </c>
      <c r="D287" s="15">
        <v>79</v>
      </c>
      <c r="E287" s="15">
        <v>195</v>
      </c>
      <c r="F287" s="16" cm="1">
        <f t="array" ref="F287">ROUND(D287/E287,1)</f>
        <v>0.4</v>
      </c>
      <c r="G287" t="s" s="13">
        <v>17</v>
      </c>
      <c r="H287" s="15">
        <v>646</v>
      </c>
      <c r="I287" s="17">
        <v>0.19</v>
      </c>
      <c r="J287" s="15">
        <v>1382</v>
      </c>
      <c r="K287" s="15" cm="1">
        <f t="array" ref="K287">ROUND(H287*I287,0)</f>
        <v>123</v>
      </c>
      <c r="L287" s="15" cm="1">
        <f t="array" ref="L287">K287*J287</f>
        <v>169986</v>
      </c>
      <c r="M287" s="15">
        <v>12650</v>
      </c>
      <c r="N287" s="15" cm="1">
        <f t="array" ref="N287">D287*M287</f>
        <v>999350</v>
      </c>
      <c r="O287" t="s" s="14">
        <v>40</v>
      </c>
    </row>
    <row r="288" ht="15" customHeight="1">
      <c r="A288" t="s" s="13">
        <v>360</v>
      </c>
      <c r="B288" t="s" s="14">
        <v>350</v>
      </c>
      <c r="C288" s="15">
        <v>451</v>
      </c>
      <c r="D288" s="15">
        <v>377</v>
      </c>
      <c r="E288" s="15">
        <v>195</v>
      </c>
      <c r="F288" s="16" cm="1">
        <f t="array" ref="F288">ROUND(D288/E288,1)</f>
        <v>1.9</v>
      </c>
      <c r="G288" t="s" s="13">
        <v>95</v>
      </c>
      <c r="H288" s="15">
        <v>451</v>
      </c>
      <c r="I288" s="17">
        <v>0.23</v>
      </c>
      <c r="J288" s="15">
        <v>1459</v>
      </c>
      <c r="K288" s="15" cm="1">
        <f t="array" ref="K288">ROUND(H288*I288,0)</f>
        <v>104</v>
      </c>
      <c r="L288" s="15" cm="1">
        <f t="array" ref="L288">K288*J288</f>
        <v>151736</v>
      </c>
      <c r="M288" s="15">
        <v>12650</v>
      </c>
      <c r="N288" s="15" cm="1">
        <f t="array" ref="N288">D288*M288</f>
        <v>4769050</v>
      </c>
      <c r="O288" t="s" s="14">
        <v>40</v>
      </c>
    </row>
    <row r="289" ht="15" customHeight="1">
      <c r="A289" t="s" s="13">
        <v>361</v>
      </c>
      <c r="B289" t="s" s="14">
        <v>350</v>
      </c>
      <c r="C289" s="15">
        <v>431</v>
      </c>
      <c r="D289" s="15">
        <v>278</v>
      </c>
      <c r="E289" s="15">
        <v>195</v>
      </c>
      <c r="F289" s="16" cm="1">
        <f t="array" ref="F289">ROUND(D289/E289,1)</f>
        <v>1.4</v>
      </c>
      <c r="G289" t="s" s="13">
        <v>37</v>
      </c>
      <c r="H289" s="15">
        <v>517</v>
      </c>
      <c r="I289" s="17">
        <v>0.2</v>
      </c>
      <c r="J289" s="15">
        <v>1461</v>
      </c>
      <c r="K289" s="15" cm="1">
        <f t="array" ref="K289">ROUND(H289*I289,0)</f>
        <v>103</v>
      </c>
      <c r="L289" s="15" cm="1">
        <f t="array" ref="L289">K289*J289</f>
        <v>150483</v>
      </c>
      <c r="M289" s="15">
        <v>12938</v>
      </c>
      <c r="N289" s="15" cm="1">
        <f t="array" ref="N289">D289*M289</f>
        <v>3596764</v>
      </c>
      <c r="O289" t="s" s="14">
        <v>40</v>
      </c>
    </row>
    <row r="290" ht="15" customHeight="1">
      <c r="A290" t="s" s="3">
        <v>362</v>
      </c>
      <c r="B290" t="s" s="4">
        <v>363</v>
      </c>
      <c r="C290" s="5">
        <v>319</v>
      </c>
      <c r="D290" s="5">
        <v>0</v>
      </c>
      <c r="E290" s="5">
        <v>92</v>
      </c>
      <c r="F290" s="6">
        <v>0</v>
      </c>
      <c r="G290" t="s" s="3">
        <v>54</v>
      </c>
      <c r="H290" s="5">
        <v>255</v>
      </c>
      <c r="I290" s="7">
        <v>0.35</v>
      </c>
      <c r="J290" s="5">
        <v>1116</v>
      </c>
      <c r="K290" s="5" cm="1">
        <f t="array" ref="K290">ROUND(H290*I290,0)</f>
        <v>89</v>
      </c>
      <c r="L290" s="5" cm="1">
        <f t="array" ref="L290">K290*J290</f>
        <v>99324</v>
      </c>
      <c r="M290" s="5">
        <v>15000</v>
      </c>
      <c r="N290" s="5" cm="1">
        <f t="array" ref="N290">D290*M290</f>
        <v>0</v>
      </c>
      <c r="O290" t="s" s="4">
        <v>18</v>
      </c>
    </row>
    <row r="291" ht="15" customHeight="1">
      <c r="A291" t="s" s="3">
        <v>364</v>
      </c>
      <c r="B291" t="s" s="4">
        <v>363</v>
      </c>
      <c r="C291" s="5">
        <v>359</v>
      </c>
      <c r="D291" s="5">
        <v>0</v>
      </c>
      <c r="E291" s="5">
        <v>92</v>
      </c>
      <c r="F291" s="6">
        <v>0</v>
      </c>
      <c r="G291" t="s" s="3">
        <v>61</v>
      </c>
      <c r="H291" s="5">
        <v>287</v>
      </c>
      <c r="I291" s="7">
        <v>0.37</v>
      </c>
      <c r="J291" s="5">
        <v>1183</v>
      </c>
      <c r="K291" s="5" cm="1">
        <f t="array" ref="K291">ROUND(H291*I291,0)</f>
        <v>106</v>
      </c>
      <c r="L291" s="5" cm="1">
        <f t="array" ref="L291">K291*J291</f>
        <v>125398</v>
      </c>
      <c r="M291" s="5">
        <v>15000</v>
      </c>
      <c r="N291" s="5" cm="1">
        <f t="array" ref="N291">D291*M291</f>
        <v>0</v>
      </c>
      <c r="O291" t="s" s="4">
        <v>18</v>
      </c>
    </row>
    <row r="292" ht="15" customHeight="1">
      <c r="A292" t="s" s="3">
        <v>365</v>
      </c>
      <c r="B292" t="s" s="4">
        <v>363</v>
      </c>
      <c r="C292" s="5">
        <v>278</v>
      </c>
      <c r="D292" s="5">
        <v>0</v>
      </c>
      <c r="E292" s="5">
        <v>92</v>
      </c>
      <c r="F292" s="6">
        <v>0</v>
      </c>
      <c r="G292" t="s" s="3">
        <v>20</v>
      </c>
      <c r="H292" s="5">
        <v>278</v>
      </c>
      <c r="I292" s="7">
        <v>0.36</v>
      </c>
      <c r="J292" s="5">
        <v>1189</v>
      </c>
      <c r="K292" s="5" cm="1">
        <f t="array" ref="K292">ROUND(H292*I292,0)</f>
        <v>100</v>
      </c>
      <c r="L292" s="5" cm="1">
        <f t="array" ref="L292">K292*J292</f>
        <v>118900</v>
      </c>
      <c r="M292" s="5">
        <v>15000</v>
      </c>
      <c r="N292" s="5" cm="1">
        <f t="array" ref="N292">D292*M292</f>
        <v>0</v>
      </c>
      <c r="O292" t="s" s="4">
        <v>18</v>
      </c>
    </row>
    <row r="293" ht="15" customHeight="1">
      <c r="A293" t="s" s="8">
        <v>366</v>
      </c>
      <c r="B293" t="s" s="9">
        <v>363</v>
      </c>
      <c r="C293" s="10">
        <v>350</v>
      </c>
      <c r="D293" s="10">
        <v>42</v>
      </c>
      <c r="E293" s="10">
        <v>0</v>
      </c>
      <c r="F293" s="11">
        <v>0</v>
      </c>
      <c r="G293" t="s" s="8">
        <v>34</v>
      </c>
      <c r="H293" s="10">
        <v>0</v>
      </c>
      <c r="I293" s="12">
        <v>0.36</v>
      </c>
      <c r="J293" s="10">
        <v>1228</v>
      </c>
      <c r="K293" s="10">
        <v>126</v>
      </c>
      <c r="L293" s="10" cm="1">
        <f t="array" ref="L293">K293*J293</f>
        <v>154728</v>
      </c>
      <c r="M293" s="10">
        <v>0</v>
      </c>
      <c r="N293" s="10" cm="1">
        <f t="array" ref="N293">D293*M293</f>
        <v>0</v>
      </c>
      <c r="O293" t="s" s="9">
        <v>367</v>
      </c>
    </row>
    <row r="294" ht="15" customHeight="1">
      <c r="A294" t="s" s="3">
        <v>368</v>
      </c>
      <c r="B294" t="s" s="4">
        <v>363</v>
      </c>
      <c r="C294" s="5">
        <v>291</v>
      </c>
      <c r="D294" s="5">
        <v>0</v>
      </c>
      <c r="E294" s="5">
        <v>92</v>
      </c>
      <c r="F294" s="6">
        <v>0</v>
      </c>
      <c r="G294" t="s" s="3">
        <v>95</v>
      </c>
      <c r="H294" s="5">
        <v>291</v>
      </c>
      <c r="I294" s="7">
        <v>0.35</v>
      </c>
      <c r="J294" s="5">
        <v>1330</v>
      </c>
      <c r="K294" s="5" cm="1">
        <f t="array" ref="K294">ROUND(H294*I294,0)</f>
        <v>102</v>
      </c>
      <c r="L294" s="5" cm="1">
        <f t="array" ref="L294">K294*J294</f>
        <v>135660</v>
      </c>
      <c r="M294" s="5">
        <v>15375</v>
      </c>
      <c r="N294" s="5" cm="1">
        <f t="array" ref="N294">D294*M294</f>
        <v>0</v>
      </c>
      <c r="O294" t="s" s="4">
        <v>18</v>
      </c>
    </row>
    <row r="295" ht="15" customHeight="1">
      <c r="A295" t="s" s="3">
        <v>369</v>
      </c>
      <c r="B295" t="s" s="4">
        <v>363</v>
      </c>
      <c r="C295" s="5">
        <v>360</v>
      </c>
      <c r="D295" s="5">
        <v>0</v>
      </c>
      <c r="E295" s="5">
        <v>92</v>
      </c>
      <c r="F295" s="6">
        <v>0</v>
      </c>
      <c r="G295" t="s" s="3">
        <v>61</v>
      </c>
      <c r="H295" s="5">
        <v>432</v>
      </c>
      <c r="I295" s="7">
        <v>0.38</v>
      </c>
      <c r="J295" s="5">
        <v>1351</v>
      </c>
      <c r="K295" s="5" cm="1">
        <f t="array" ref="K295">ROUND(H295*I295,0)</f>
        <v>164</v>
      </c>
      <c r="L295" s="5" cm="1">
        <f t="array" ref="L295">K295*J295</f>
        <v>221564</v>
      </c>
      <c r="M295" s="5">
        <v>15375</v>
      </c>
      <c r="N295" s="5" cm="1">
        <f t="array" ref="N295">D295*M295</f>
        <v>0</v>
      </c>
      <c r="O295" t="s" s="4">
        <v>18</v>
      </c>
    </row>
    <row r="296" ht="15" customHeight="1">
      <c r="A296" t="s" s="3">
        <v>370</v>
      </c>
      <c r="B296" t="s" s="4">
        <v>363</v>
      </c>
      <c r="C296" s="5">
        <v>262</v>
      </c>
      <c r="D296" s="5">
        <v>0</v>
      </c>
      <c r="E296" s="5">
        <v>92</v>
      </c>
      <c r="F296" s="6">
        <v>0</v>
      </c>
      <c r="G296" t="s" s="3">
        <v>24</v>
      </c>
      <c r="H296" s="5">
        <v>209</v>
      </c>
      <c r="I296" s="7">
        <v>0.36</v>
      </c>
      <c r="J296" s="5">
        <v>1305</v>
      </c>
      <c r="K296" s="5" cm="1">
        <f t="array" ref="K296">ROUND(H296*I296,0)</f>
        <v>75</v>
      </c>
      <c r="L296" s="5" cm="1">
        <f t="array" ref="L296">K296*J296</f>
        <v>97875</v>
      </c>
      <c r="M296" s="5">
        <v>15750</v>
      </c>
      <c r="N296" s="5" cm="1">
        <f t="array" ref="N296">D296*M296</f>
        <v>0</v>
      </c>
      <c r="O296" t="s" s="4">
        <v>18</v>
      </c>
    </row>
    <row r="297" ht="15" customHeight="1">
      <c r="A297" t="s" s="3">
        <v>371</v>
      </c>
      <c r="B297" t="s" s="4">
        <v>363</v>
      </c>
      <c r="C297" s="5">
        <v>391</v>
      </c>
      <c r="D297" s="5">
        <v>0</v>
      </c>
      <c r="E297" s="5">
        <v>92</v>
      </c>
      <c r="F297" s="6">
        <v>0</v>
      </c>
      <c r="G297" t="s" s="3">
        <v>26</v>
      </c>
      <c r="H297" s="5">
        <v>469</v>
      </c>
      <c r="I297" s="7">
        <v>0.38</v>
      </c>
      <c r="J297" s="5">
        <v>1274</v>
      </c>
      <c r="K297" s="5" cm="1">
        <f t="array" ref="K297">ROUND(H297*I297,0)</f>
        <v>178</v>
      </c>
      <c r="L297" s="5" cm="1">
        <f t="array" ref="L297">K297*J297</f>
        <v>226772</v>
      </c>
      <c r="M297" s="5">
        <v>15750</v>
      </c>
      <c r="N297" s="5" cm="1">
        <f t="array" ref="N297">D297*M297</f>
        <v>0</v>
      </c>
      <c r="O297" t="s" s="4">
        <v>18</v>
      </c>
    </row>
    <row r="298" ht="15" customHeight="1">
      <c r="A298" t="s" s="3">
        <v>372</v>
      </c>
      <c r="B298" t="s" s="4">
        <v>363</v>
      </c>
      <c r="C298" s="5">
        <v>297</v>
      </c>
      <c r="D298" s="5">
        <v>0</v>
      </c>
      <c r="E298" s="5">
        <v>92</v>
      </c>
      <c r="F298" s="6">
        <v>0</v>
      </c>
      <c r="G298" t="s" s="3">
        <v>22</v>
      </c>
      <c r="H298" s="5">
        <v>237</v>
      </c>
      <c r="I298" s="7">
        <v>0.35</v>
      </c>
      <c r="J298" s="5">
        <v>1305</v>
      </c>
      <c r="K298" s="5" cm="1">
        <f t="array" ref="K298">ROUND(H298*I298,0)</f>
        <v>83</v>
      </c>
      <c r="L298" s="5" cm="1">
        <f t="array" ref="L298">K298*J298</f>
        <v>108315</v>
      </c>
      <c r="M298" s="5">
        <v>15750</v>
      </c>
      <c r="N298" s="5" cm="1">
        <f t="array" ref="N298">D298*M298</f>
        <v>0</v>
      </c>
      <c r="O298" t="s" s="4">
        <v>18</v>
      </c>
    </row>
    <row r="299" ht="15" customHeight="1">
      <c r="A299" t="s" s="3">
        <v>373</v>
      </c>
      <c r="B299" t="s" s="4">
        <v>363</v>
      </c>
      <c r="C299" s="5">
        <v>315</v>
      </c>
      <c r="D299" s="5">
        <v>0</v>
      </c>
      <c r="E299" s="5">
        <v>92</v>
      </c>
      <c r="F299" s="6">
        <v>0</v>
      </c>
      <c r="G299" t="s" s="3">
        <v>47</v>
      </c>
      <c r="H299" s="5">
        <v>252</v>
      </c>
      <c r="I299" s="7">
        <v>0.39</v>
      </c>
      <c r="J299" s="5">
        <v>1360</v>
      </c>
      <c r="K299" s="5" cm="1">
        <f t="array" ref="K299">ROUND(H299*I299,0)</f>
        <v>98</v>
      </c>
      <c r="L299" s="5" cm="1">
        <f t="array" ref="L299">K299*J299</f>
        <v>133280</v>
      </c>
      <c r="M299" s="5">
        <v>16125</v>
      </c>
      <c r="N299" s="5" cm="1">
        <f t="array" ref="N299">D299*M299</f>
        <v>0</v>
      </c>
      <c r="O299" t="s" s="4">
        <v>18</v>
      </c>
    </row>
    <row r="300" ht="15" customHeight="1">
      <c r="A300" t="s" s="3">
        <v>374</v>
      </c>
      <c r="B300" t="s" s="4">
        <v>363</v>
      </c>
      <c r="C300" s="5">
        <v>318</v>
      </c>
      <c r="D300" s="5">
        <v>0</v>
      </c>
      <c r="E300" s="5">
        <v>92</v>
      </c>
      <c r="F300" s="6">
        <v>0</v>
      </c>
      <c r="G300" t="s" s="3">
        <v>59</v>
      </c>
      <c r="H300" s="5">
        <v>318</v>
      </c>
      <c r="I300" s="7">
        <v>0.37</v>
      </c>
      <c r="J300" s="5">
        <v>1353</v>
      </c>
      <c r="K300" s="5" cm="1">
        <f t="array" ref="K300">ROUND(H300*I300,0)</f>
        <v>118</v>
      </c>
      <c r="L300" s="5" cm="1">
        <f t="array" ref="L300">K300*J300</f>
        <v>159654</v>
      </c>
      <c r="M300" s="5">
        <v>16125</v>
      </c>
      <c r="N300" s="5" cm="1">
        <f t="array" ref="N300">D300*M300</f>
        <v>0</v>
      </c>
      <c r="O300" t="s" s="4">
        <v>18</v>
      </c>
    </row>
    <row r="301" ht="15" customHeight="1">
      <c r="A301" t="s" s="3">
        <v>375</v>
      </c>
      <c r="B301" t="s" s="4">
        <v>363</v>
      </c>
      <c r="C301" s="5">
        <v>258</v>
      </c>
      <c r="D301" s="5">
        <v>0</v>
      </c>
      <c r="E301" s="5">
        <v>92</v>
      </c>
      <c r="F301" s="6">
        <v>0</v>
      </c>
      <c r="G301" t="s" s="3">
        <v>54</v>
      </c>
      <c r="H301" s="5">
        <v>206</v>
      </c>
      <c r="I301" s="7">
        <v>0.42</v>
      </c>
      <c r="J301" s="5">
        <v>1449</v>
      </c>
      <c r="K301" s="5" cm="1">
        <f t="array" ref="K301">ROUND(H301*I301,0)</f>
        <v>87</v>
      </c>
      <c r="L301" s="5" cm="1">
        <f t="array" ref="L301">K301*J301</f>
        <v>126063</v>
      </c>
      <c r="M301" s="5">
        <v>16500</v>
      </c>
      <c r="N301" s="5" cm="1">
        <f t="array" ref="N301">D301*M301</f>
        <v>0</v>
      </c>
      <c r="O301" t="s" s="4">
        <v>18</v>
      </c>
    </row>
    <row r="302" ht="15" customHeight="1">
      <c r="A302" t="s" s="13">
        <v>376</v>
      </c>
      <c r="B302" t="s" s="14">
        <v>363</v>
      </c>
      <c r="C302" s="15">
        <v>255</v>
      </c>
      <c r="D302" s="15">
        <v>169</v>
      </c>
      <c r="E302" s="15">
        <v>92</v>
      </c>
      <c r="F302" s="16" cm="1">
        <f t="array" ref="F302">ROUND(D302/E302,1)</f>
        <v>1.8</v>
      </c>
      <c r="G302" t="s" s="13">
        <v>130</v>
      </c>
      <c r="H302" s="15">
        <v>306</v>
      </c>
      <c r="I302" s="17">
        <v>0.41</v>
      </c>
      <c r="J302" s="15">
        <v>1387</v>
      </c>
      <c r="K302" s="15" cm="1">
        <f t="array" ref="K302">ROUND(H302*I302,0)</f>
        <v>125</v>
      </c>
      <c r="L302" s="15" cm="1">
        <f t="array" ref="L302">K302*J302</f>
        <v>173375</v>
      </c>
      <c r="M302" s="15">
        <v>16500</v>
      </c>
      <c r="N302" s="15" cm="1">
        <f t="array" ref="N302">D302*M302</f>
        <v>2788500</v>
      </c>
      <c r="O302" t="s" s="14">
        <v>40</v>
      </c>
    </row>
    <row r="303" ht="15" customHeight="1">
      <c r="A303" t="s" s="13">
        <v>377</v>
      </c>
      <c r="B303" t="s" s="14">
        <v>363</v>
      </c>
      <c r="C303" s="15">
        <v>301</v>
      </c>
      <c r="D303" s="15">
        <v>119</v>
      </c>
      <c r="E303" s="15">
        <v>92</v>
      </c>
      <c r="F303" s="16" cm="1">
        <f t="array" ref="F303">ROUND(D303/E303,1)</f>
        <v>1.3</v>
      </c>
      <c r="G303" t="s" s="13">
        <v>24</v>
      </c>
      <c r="H303" s="15">
        <v>301</v>
      </c>
      <c r="I303" s="17">
        <v>0.4</v>
      </c>
      <c r="J303" s="15">
        <v>1472</v>
      </c>
      <c r="K303" s="15" cm="1">
        <f t="array" ref="K303">ROUND(H303*I303,0)</f>
        <v>120</v>
      </c>
      <c r="L303" s="15" cm="1">
        <f t="array" ref="L303">K303*J303</f>
        <v>176640</v>
      </c>
      <c r="M303" s="15">
        <v>16875</v>
      </c>
      <c r="N303" s="15" cm="1">
        <f t="array" ref="N303">D303*M303</f>
        <v>2008125</v>
      </c>
      <c r="O303" t="s" s="14">
        <v>40</v>
      </c>
    </row>
    <row r="304" ht="15" customHeight="1">
      <c r="A304" t="s" s="3">
        <v>378</v>
      </c>
      <c r="B304" t="s" s="4">
        <v>379</v>
      </c>
      <c r="C304" s="5">
        <v>667</v>
      </c>
      <c r="D304" s="5">
        <v>0</v>
      </c>
      <c r="E304" s="5">
        <v>230</v>
      </c>
      <c r="F304" s="6">
        <v>0</v>
      </c>
      <c r="G304" t="s" s="3">
        <v>24</v>
      </c>
      <c r="H304" s="5">
        <v>533</v>
      </c>
      <c r="I304" s="7">
        <v>0.38</v>
      </c>
      <c r="J304" s="5">
        <v>1134</v>
      </c>
      <c r="K304" s="5" cm="1">
        <f t="array" ref="K304">ROUND(H304*I304,0)</f>
        <v>203</v>
      </c>
      <c r="L304" s="5" cm="1">
        <f t="array" ref="L304">K304*J304</f>
        <v>230202</v>
      </c>
      <c r="M304" s="5">
        <v>13000</v>
      </c>
      <c r="N304" s="5" cm="1">
        <f t="array" ref="N304">D304*M304</f>
        <v>0</v>
      </c>
      <c r="O304" t="s" s="4">
        <v>18</v>
      </c>
    </row>
    <row r="305" ht="15" customHeight="1">
      <c r="A305" t="s" s="3">
        <v>380</v>
      </c>
      <c r="B305" t="s" s="4">
        <v>379</v>
      </c>
      <c r="C305" s="5">
        <v>662</v>
      </c>
      <c r="D305" s="5">
        <v>0</v>
      </c>
      <c r="E305" s="5">
        <v>230</v>
      </c>
      <c r="F305" s="6">
        <v>0</v>
      </c>
      <c r="G305" t="s" s="3">
        <v>24</v>
      </c>
      <c r="H305" s="5">
        <v>662</v>
      </c>
      <c r="I305" s="7">
        <v>0.37</v>
      </c>
      <c r="J305" s="5">
        <v>1179</v>
      </c>
      <c r="K305" s="5" cm="1">
        <f t="array" ref="K305">ROUND(H305*I305,0)</f>
        <v>245</v>
      </c>
      <c r="L305" s="5" cm="1">
        <f t="array" ref="L305">K305*J305</f>
        <v>288855</v>
      </c>
      <c r="M305" s="5">
        <v>13000</v>
      </c>
      <c r="N305" s="5" cm="1">
        <f t="array" ref="N305">D305*M305</f>
        <v>0</v>
      </c>
      <c r="O305" t="s" s="4">
        <v>18</v>
      </c>
    </row>
    <row r="306" ht="15" customHeight="1">
      <c r="A306" t="s" s="3">
        <v>381</v>
      </c>
      <c r="B306" t="s" s="4">
        <v>379</v>
      </c>
      <c r="C306" s="5">
        <v>771</v>
      </c>
      <c r="D306" s="5">
        <v>0</v>
      </c>
      <c r="E306" s="5">
        <v>230</v>
      </c>
      <c r="F306" s="6">
        <v>0</v>
      </c>
      <c r="G306" t="s" s="3">
        <v>105</v>
      </c>
      <c r="H306" s="5">
        <v>771</v>
      </c>
      <c r="I306" s="7">
        <v>0.4</v>
      </c>
      <c r="J306" s="5">
        <v>1274</v>
      </c>
      <c r="K306" s="5" cm="1">
        <f t="array" ref="K306">ROUND(H306*I306,0)</f>
        <v>308</v>
      </c>
      <c r="L306" s="5" cm="1">
        <f t="array" ref="L306">K306*J306</f>
        <v>392392</v>
      </c>
      <c r="M306" s="5">
        <v>13325</v>
      </c>
      <c r="N306" s="5" cm="1">
        <f t="array" ref="N306">D306*M306</f>
        <v>0</v>
      </c>
      <c r="O306" t="s" s="4">
        <v>18</v>
      </c>
    </row>
    <row r="307" ht="15" customHeight="1">
      <c r="A307" t="s" s="3">
        <v>382</v>
      </c>
      <c r="B307" t="s" s="4">
        <v>379</v>
      </c>
      <c r="C307" s="5">
        <v>572</v>
      </c>
      <c r="D307" s="5">
        <v>0</v>
      </c>
      <c r="E307" s="5">
        <v>230</v>
      </c>
      <c r="F307" s="6">
        <v>0</v>
      </c>
      <c r="G307" t="s" s="3">
        <v>66</v>
      </c>
      <c r="H307" s="5">
        <v>457</v>
      </c>
      <c r="I307" s="7">
        <v>0.38</v>
      </c>
      <c r="J307" s="5">
        <v>1305</v>
      </c>
      <c r="K307" s="5" cm="1">
        <f t="array" ref="K307">ROUND(H307*I307,0)</f>
        <v>174</v>
      </c>
      <c r="L307" s="5" cm="1">
        <f t="array" ref="L307">K307*J307</f>
        <v>227070</v>
      </c>
      <c r="M307" s="5">
        <v>13325</v>
      </c>
      <c r="N307" s="5" cm="1">
        <f t="array" ref="N307">D307*M307</f>
        <v>0</v>
      </c>
      <c r="O307" t="s" s="4">
        <v>18</v>
      </c>
    </row>
    <row r="308" ht="15" customHeight="1">
      <c r="A308" t="s" s="3">
        <v>383</v>
      </c>
      <c r="B308" t="s" s="4">
        <v>379</v>
      </c>
      <c r="C308" s="5">
        <v>513</v>
      </c>
      <c r="D308" s="5">
        <v>0</v>
      </c>
      <c r="E308" s="5">
        <v>230</v>
      </c>
      <c r="F308" s="6">
        <v>0</v>
      </c>
      <c r="G308" t="s" s="3">
        <v>95</v>
      </c>
      <c r="H308" s="5">
        <v>410</v>
      </c>
      <c r="I308" s="7">
        <v>0.43</v>
      </c>
      <c r="J308" s="5">
        <v>1316</v>
      </c>
      <c r="K308" s="5" cm="1">
        <f t="array" ref="K308">ROUND(H308*I308,0)</f>
        <v>176</v>
      </c>
      <c r="L308" s="5" cm="1">
        <f t="array" ref="L308">K308*J308</f>
        <v>231616</v>
      </c>
      <c r="M308" s="5">
        <v>13650</v>
      </c>
      <c r="N308" s="5" cm="1">
        <f t="array" ref="N308">D308*M308</f>
        <v>0</v>
      </c>
      <c r="O308" t="s" s="4">
        <v>18</v>
      </c>
    </row>
    <row r="309" ht="15" customHeight="1">
      <c r="A309" t="s" s="3">
        <v>384</v>
      </c>
      <c r="B309" t="s" s="4">
        <v>379</v>
      </c>
      <c r="C309" s="5">
        <v>530</v>
      </c>
      <c r="D309" s="5">
        <v>0</v>
      </c>
      <c r="E309" s="5">
        <v>230</v>
      </c>
      <c r="F309" s="6">
        <v>0</v>
      </c>
      <c r="G309" t="s" s="3">
        <v>81</v>
      </c>
      <c r="H309" s="5">
        <v>636</v>
      </c>
      <c r="I309" s="7">
        <v>0.38</v>
      </c>
      <c r="J309" s="5">
        <v>1297</v>
      </c>
      <c r="K309" s="5" cm="1">
        <f t="array" ref="K309">ROUND(H309*I309,0)</f>
        <v>242</v>
      </c>
      <c r="L309" s="5" cm="1">
        <f t="array" ref="L309">K309*J309</f>
        <v>313874</v>
      </c>
      <c r="M309" s="5">
        <v>13650</v>
      </c>
      <c r="N309" s="5" cm="1">
        <f t="array" ref="N309">D309*M309</f>
        <v>0</v>
      </c>
      <c r="O309" t="s" s="4">
        <v>18</v>
      </c>
    </row>
    <row r="310" ht="15" customHeight="1">
      <c r="A310" t="s" s="3">
        <v>385</v>
      </c>
      <c r="B310" t="s" s="4">
        <v>379</v>
      </c>
      <c r="C310" s="5">
        <v>764</v>
      </c>
      <c r="D310" s="5">
        <v>0</v>
      </c>
      <c r="E310" s="5">
        <v>230</v>
      </c>
      <c r="F310" s="6">
        <v>0</v>
      </c>
      <c r="G310" t="s" s="3">
        <v>39</v>
      </c>
      <c r="H310" s="5">
        <v>611</v>
      </c>
      <c r="I310" s="7">
        <v>0.42</v>
      </c>
      <c r="J310" s="5">
        <v>1318</v>
      </c>
      <c r="K310" s="5" cm="1">
        <f t="array" ref="K310">ROUND(H310*I310,0)</f>
        <v>257</v>
      </c>
      <c r="L310" s="5" cm="1">
        <f t="array" ref="L310">K310*J310</f>
        <v>338726</v>
      </c>
      <c r="M310" s="5">
        <v>13975</v>
      </c>
      <c r="N310" s="5" cm="1">
        <f t="array" ref="N310">D310*M310</f>
        <v>0</v>
      </c>
      <c r="O310" t="s" s="4">
        <v>18</v>
      </c>
    </row>
    <row r="311" ht="15" customHeight="1">
      <c r="A311" t="s" s="3">
        <v>386</v>
      </c>
      <c r="B311" t="s" s="4">
        <v>379</v>
      </c>
      <c r="C311" s="5">
        <v>723</v>
      </c>
      <c r="D311" s="5">
        <v>0</v>
      </c>
      <c r="E311" s="5">
        <v>230</v>
      </c>
      <c r="F311" s="6">
        <v>0</v>
      </c>
      <c r="G311" t="s" s="3">
        <v>59</v>
      </c>
      <c r="H311" s="5">
        <v>723</v>
      </c>
      <c r="I311" s="7">
        <v>0.46</v>
      </c>
      <c r="J311" s="5">
        <v>1375</v>
      </c>
      <c r="K311" s="5" cm="1">
        <f t="array" ref="K311">ROUND(H311*I311,0)</f>
        <v>333</v>
      </c>
      <c r="L311" s="5" cm="1">
        <f t="array" ref="L311">K311*J311</f>
        <v>457875</v>
      </c>
      <c r="M311" s="5">
        <v>13975</v>
      </c>
      <c r="N311" s="5" cm="1">
        <f t="array" ref="N311">D311*M311</f>
        <v>0</v>
      </c>
      <c r="O311" t="s" s="4">
        <v>18</v>
      </c>
    </row>
    <row r="312" ht="15" customHeight="1">
      <c r="A312" t="s" s="13">
        <v>387</v>
      </c>
      <c r="B312" t="s" s="14">
        <v>379</v>
      </c>
      <c r="C312" s="15">
        <v>586</v>
      </c>
      <c r="D312" s="15">
        <v>19</v>
      </c>
      <c r="E312" s="15">
        <v>230</v>
      </c>
      <c r="F312" s="16" cm="1">
        <f t="array" ref="F312">ROUND(D312/E312,1)</f>
        <v>0.1</v>
      </c>
      <c r="G312" t="s" s="13">
        <v>63</v>
      </c>
      <c r="H312" s="15">
        <v>586</v>
      </c>
      <c r="I312" s="17">
        <v>0.44</v>
      </c>
      <c r="J312" s="15">
        <v>1455</v>
      </c>
      <c r="K312" s="15" cm="1">
        <f t="array" ref="K312">ROUND(H312*I312,0)</f>
        <v>258</v>
      </c>
      <c r="L312" s="15" cm="1">
        <f t="array" ref="L312">K312*J312</f>
        <v>375390</v>
      </c>
      <c r="M312" s="15">
        <v>14300</v>
      </c>
      <c r="N312" s="15" cm="1">
        <f t="array" ref="N312">D312*M312</f>
        <v>271700</v>
      </c>
      <c r="O312" t="s" s="14">
        <v>40</v>
      </c>
    </row>
    <row r="313" ht="15" customHeight="1">
      <c r="A313" t="s" s="13">
        <v>388</v>
      </c>
      <c r="B313" t="s" s="14">
        <v>379</v>
      </c>
      <c r="C313" s="15">
        <v>757</v>
      </c>
      <c r="D313" s="15">
        <v>14</v>
      </c>
      <c r="E313" s="15">
        <v>230</v>
      </c>
      <c r="F313" s="16" cm="1">
        <f t="array" ref="F313">ROUND(D313/E313,1)</f>
        <v>0.1</v>
      </c>
      <c r="G313" t="s" s="13">
        <v>24</v>
      </c>
      <c r="H313" s="15">
        <v>605</v>
      </c>
      <c r="I313" s="17">
        <v>0.45</v>
      </c>
      <c r="J313" s="15">
        <v>1387</v>
      </c>
      <c r="K313" s="15" cm="1">
        <f t="array" ref="K313">ROUND(H313*I313,0)</f>
        <v>272</v>
      </c>
      <c r="L313" s="15" cm="1">
        <f t="array" ref="L313">K313*J313</f>
        <v>377264</v>
      </c>
      <c r="M313" s="15">
        <v>14300</v>
      </c>
      <c r="N313" s="15" cm="1">
        <f t="array" ref="N313">D313*M313</f>
        <v>200200</v>
      </c>
      <c r="O313" t="s" s="14">
        <v>40</v>
      </c>
    </row>
    <row r="314" ht="15" customHeight="1">
      <c r="A314" t="s" s="3">
        <v>389</v>
      </c>
      <c r="B314" t="s" s="4">
        <v>390</v>
      </c>
      <c r="C314" s="5">
        <v>148</v>
      </c>
      <c r="D314" s="5">
        <v>0</v>
      </c>
      <c r="E314" s="5">
        <v>52</v>
      </c>
      <c r="F314" s="6">
        <v>0</v>
      </c>
      <c r="G314" t="s" s="3">
        <v>79</v>
      </c>
      <c r="H314" s="5">
        <v>148</v>
      </c>
      <c r="I314" s="7">
        <v>0.86</v>
      </c>
      <c r="J314" s="5">
        <v>1113</v>
      </c>
      <c r="K314" s="5" cm="1">
        <f t="array" ref="K314">ROUND(H314*I314,0)</f>
        <v>127</v>
      </c>
      <c r="L314" s="5" cm="1">
        <f t="array" ref="L314">K314*J314</f>
        <v>141351</v>
      </c>
      <c r="M314" s="5">
        <v>19000</v>
      </c>
      <c r="N314" s="5" cm="1">
        <f t="array" ref="N314">D314*M314</f>
        <v>0</v>
      </c>
      <c r="O314" t="s" s="4">
        <v>18</v>
      </c>
    </row>
    <row r="315" ht="15" customHeight="1">
      <c r="A315" t="s" s="3">
        <v>391</v>
      </c>
      <c r="B315" t="s" s="4">
        <v>390</v>
      </c>
      <c r="C315" s="5">
        <v>190</v>
      </c>
      <c r="D315" s="5">
        <v>0</v>
      </c>
      <c r="E315" s="5">
        <v>52</v>
      </c>
      <c r="F315" s="6">
        <v>0</v>
      </c>
      <c r="G315" t="s" s="3">
        <v>59</v>
      </c>
      <c r="H315" s="5">
        <v>228</v>
      </c>
      <c r="I315" s="7">
        <v>0.84</v>
      </c>
      <c r="J315" s="5">
        <v>1125</v>
      </c>
      <c r="K315" s="5" cm="1">
        <f t="array" ref="K315">ROUND(H315*I315,0)</f>
        <v>192</v>
      </c>
      <c r="L315" s="5" cm="1">
        <f t="array" ref="L315">K315*J315</f>
        <v>216000</v>
      </c>
      <c r="M315" s="5">
        <v>19000</v>
      </c>
      <c r="N315" s="5" cm="1">
        <f t="array" ref="N315">D315*M315</f>
        <v>0</v>
      </c>
      <c r="O315" t="s" s="4">
        <v>18</v>
      </c>
    </row>
    <row r="316" ht="15" customHeight="1">
      <c r="A316" t="s" s="3">
        <v>392</v>
      </c>
      <c r="B316" t="s" s="4">
        <v>390</v>
      </c>
      <c r="C316" s="5">
        <v>179</v>
      </c>
      <c r="D316" s="5">
        <v>0</v>
      </c>
      <c r="E316" s="5">
        <v>52</v>
      </c>
      <c r="F316" s="6">
        <v>0</v>
      </c>
      <c r="G316" t="s" s="3">
        <v>24</v>
      </c>
      <c r="H316" s="5">
        <v>143</v>
      </c>
      <c r="I316" s="7">
        <v>0.92</v>
      </c>
      <c r="J316" s="5">
        <v>1179</v>
      </c>
      <c r="K316" s="5" cm="1">
        <f t="array" ref="K316">ROUND(H316*I316,0)</f>
        <v>132</v>
      </c>
      <c r="L316" s="5" cm="1">
        <f t="array" ref="L316">K316*J316</f>
        <v>155628</v>
      </c>
      <c r="M316" s="5">
        <v>19000</v>
      </c>
      <c r="N316" s="5" cm="1">
        <f t="array" ref="N316">D316*M316</f>
        <v>0</v>
      </c>
      <c r="O316" t="s" s="4">
        <v>18</v>
      </c>
    </row>
    <row r="317" ht="15" customHeight="1">
      <c r="A317" t="s" s="3">
        <v>393</v>
      </c>
      <c r="B317" t="s" s="4">
        <v>390</v>
      </c>
      <c r="C317" s="5">
        <v>218</v>
      </c>
      <c r="D317" s="5">
        <v>0</v>
      </c>
      <c r="E317" s="5">
        <v>52</v>
      </c>
      <c r="F317" s="6">
        <v>0</v>
      </c>
      <c r="G317" t="s" s="3">
        <v>51</v>
      </c>
      <c r="H317" s="5">
        <v>218</v>
      </c>
      <c r="I317" s="7">
        <v>0.92</v>
      </c>
      <c r="J317" s="5">
        <v>1277</v>
      </c>
      <c r="K317" s="5" cm="1">
        <f t="array" ref="K317">ROUND(H317*I317,0)</f>
        <v>201</v>
      </c>
      <c r="L317" s="5" cm="1">
        <f t="array" ref="L317">K317*J317</f>
        <v>256677</v>
      </c>
      <c r="M317" s="5">
        <v>19475</v>
      </c>
      <c r="N317" s="5" cm="1">
        <f t="array" ref="N317">D317*M317</f>
        <v>0</v>
      </c>
      <c r="O317" t="s" s="4">
        <v>18</v>
      </c>
    </row>
    <row r="318" ht="15" customHeight="1">
      <c r="A318" t="s" s="3">
        <v>394</v>
      </c>
      <c r="B318" t="s" s="4">
        <v>390</v>
      </c>
      <c r="C318" s="5">
        <v>199</v>
      </c>
      <c r="D318" s="5">
        <v>0</v>
      </c>
      <c r="E318" s="5">
        <v>52</v>
      </c>
      <c r="F318" s="6">
        <v>0</v>
      </c>
      <c r="G318" t="s" s="3">
        <v>20</v>
      </c>
      <c r="H318" s="5">
        <v>199</v>
      </c>
      <c r="I318" s="7">
        <v>0.93</v>
      </c>
      <c r="J318" s="5">
        <v>1318</v>
      </c>
      <c r="K318" s="5" cm="1">
        <f t="array" ref="K318">ROUND(H318*I318,0)</f>
        <v>185</v>
      </c>
      <c r="L318" s="5" cm="1">
        <f t="array" ref="L318">K318*J318</f>
        <v>243830</v>
      </c>
      <c r="M318" s="5">
        <v>19475</v>
      </c>
      <c r="N318" s="5" cm="1">
        <f t="array" ref="N318">D318*M318</f>
        <v>0</v>
      </c>
      <c r="O318" t="s" s="4">
        <v>18</v>
      </c>
    </row>
    <row r="319" ht="15" customHeight="1">
      <c r="A319" t="s" s="3">
        <v>395</v>
      </c>
      <c r="B319" t="s" s="4">
        <v>390</v>
      </c>
      <c r="C319" s="5">
        <v>176</v>
      </c>
      <c r="D319" s="5">
        <v>0</v>
      </c>
      <c r="E319" s="5">
        <v>52</v>
      </c>
      <c r="F319" s="6">
        <v>0</v>
      </c>
      <c r="G319" t="s" s="3">
        <v>81</v>
      </c>
      <c r="H319" s="5">
        <v>140</v>
      </c>
      <c r="I319" s="7">
        <v>0.89</v>
      </c>
      <c r="J319" s="5">
        <v>1294</v>
      </c>
      <c r="K319" s="5" cm="1">
        <f t="array" ref="K319">ROUND(H319*I319,0)</f>
        <v>125</v>
      </c>
      <c r="L319" s="5" cm="1">
        <f t="array" ref="L319">K319*J319</f>
        <v>161750</v>
      </c>
      <c r="M319" s="5">
        <v>19950</v>
      </c>
      <c r="N319" s="5" cm="1">
        <f t="array" ref="N319">D319*M319</f>
        <v>0</v>
      </c>
      <c r="O319" t="s" s="4">
        <v>18</v>
      </c>
    </row>
    <row r="320" ht="15" customHeight="1">
      <c r="A320" t="s" s="8">
        <v>396</v>
      </c>
      <c r="B320" t="s" s="9">
        <v>390</v>
      </c>
      <c r="C320" s="10">
        <v>180</v>
      </c>
      <c r="D320" s="10">
        <v>0</v>
      </c>
      <c r="E320" s="10">
        <v>0</v>
      </c>
      <c r="F320" s="11">
        <v>0</v>
      </c>
      <c r="G320" t="s" s="8">
        <v>34</v>
      </c>
      <c r="H320" s="10">
        <v>0</v>
      </c>
      <c r="I320" s="12">
        <v>0.93</v>
      </c>
      <c r="J320" s="10">
        <v>1312</v>
      </c>
      <c r="K320" s="10">
        <v>167</v>
      </c>
      <c r="L320" s="10" cm="1">
        <f t="array" ref="L320">K320*J320</f>
        <v>219104</v>
      </c>
      <c r="M320" s="10">
        <v>0</v>
      </c>
      <c r="N320" s="10" cm="1">
        <f t="array" ref="N320">D320*M320</f>
        <v>0</v>
      </c>
      <c r="O320" t="s" s="9">
        <v>397</v>
      </c>
    </row>
    <row r="321" ht="15" customHeight="1">
      <c r="A321" t="s" s="3">
        <v>398</v>
      </c>
      <c r="B321" t="s" s="4">
        <v>390</v>
      </c>
      <c r="C321" s="5">
        <v>215</v>
      </c>
      <c r="D321" s="5">
        <v>0</v>
      </c>
      <c r="E321" s="5">
        <v>52</v>
      </c>
      <c r="F321" s="6">
        <v>0</v>
      </c>
      <c r="G321" t="s" s="3">
        <v>57</v>
      </c>
      <c r="H321" s="5">
        <v>172</v>
      </c>
      <c r="I321" s="7">
        <v>0.92</v>
      </c>
      <c r="J321" s="5">
        <v>1341</v>
      </c>
      <c r="K321" s="5" cm="1">
        <f t="array" ref="K321">ROUND(H321*I321,0)</f>
        <v>158</v>
      </c>
      <c r="L321" s="5" cm="1">
        <f t="array" ref="L321">K321*J321</f>
        <v>211878</v>
      </c>
      <c r="M321" s="5">
        <v>19950</v>
      </c>
      <c r="N321" s="5" cm="1">
        <f t="array" ref="N321">D321*M321</f>
        <v>0</v>
      </c>
      <c r="O321" t="s" s="4">
        <v>18</v>
      </c>
    </row>
    <row r="322" ht="15" customHeight="1">
      <c r="A322" t="s" s="3">
        <v>399</v>
      </c>
      <c r="B322" t="s" s="4">
        <v>390</v>
      </c>
      <c r="C322" s="5">
        <v>148</v>
      </c>
      <c r="D322" s="5">
        <v>0</v>
      </c>
      <c r="E322" s="5">
        <v>52</v>
      </c>
      <c r="F322" s="6">
        <v>0</v>
      </c>
      <c r="G322" t="s" s="3">
        <v>24</v>
      </c>
      <c r="H322" s="5">
        <v>148</v>
      </c>
      <c r="I322" s="7">
        <v>0.91</v>
      </c>
      <c r="J322" s="5">
        <v>1346</v>
      </c>
      <c r="K322" s="5" cm="1">
        <f t="array" ref="K322">ROUND(H322*I322,0)</f>
        <v>135</v>
      </c>
      <c r="L322" s="5" cm="1">
        <f t="array" ref="L322">K322*J322</f>
        <v>181710</v>
      </c>
      <c r="M322" s="5">
        <v>19950</v>
      </c>
      <c r="N322" s="5" cm="1">
        <f t="array" ref="N322">D322*M322</f>
        <v>0</v>
      </c>
      <c r="O322" t="s" s="4">
        <v>18</v>
      </c>
    </row>
    <row r="323" ht="15" customHeight="1">
      <c r="A323" t="s" s="3">
        <v>400</v>
      </c>
      <c r="B323" t="s" s="4">
        <v>390</v>
      </c>
      <c r="C323" s="5">
        <v>210</v>
      </c>
      <c r="D323" s="5">
        <v>0</v>
      </c>
      <c r="E323" s="5">
        <v>52</v>
      </c>
      <c r="F323" s="6">
        <v>0</v>
      </c>
      <c r="G323" t="s" s="3">
        <v>79</v>
      </c>
      <c r="H323" s="5">
        <v>210</v>
      </c>
      <c r="I323" s="7">
        <v>0.96</v>
      </c>
      <c r="J323" s="5">
        <v>1373</v>
      </c>
      <c r="K323" s="5" cm="1">
        <f t="array" ref="K323">ROUND(H323*I323,0)</f>
        <v>202</v>
      </c>
      <c r="L323" s="5" cm="1">
        <f t="array" ref="L323">K323*J323</f>
        <v>277346</v>
      </c>
      <c r="M323" s="5">
        <v>20425</v>
      </c>
      <c r="N323" s="5" cm="1">
        <f t="array" ref="N323">D323*M323</f>
        <v>0</v>
      </c>
      <c r="O323" t="s" s="4">
        <v>18</v>
      </c>
    </row>
    <row r="324" ht="15" customHeight="1">
      <c r="A324" t="s" s="3">
        <v>401</v>
      </c>
      <c r="B324" t="s" s="4">
        <v>390</v>
      </c>
      <c r="C324" s="5">
        <v>138</v>
      </c>
      <c r="D324" s="5">
        <v>0</v>
      </c>
      <c r="E324" s="5">
        <v>52</v>
      </c>
      <c r="F324" s="6">
        <v>0</v>
      </c>
      <c r="G324" t="s" s="3">
        <v>102</v>
      </c>
      <c r="H324" s="5">
        <v>165</v>
      </c>
      <c r="I324" s="7">
        <v>0.97</v>
      </c>
      <c r="J324" s="5">
        <v>1379</v>
      </c>
      <c r="K324" s="5" cm="1">
        <f t="array" ref="K324">ROUND(H324*I324,0)</f>
        <v>160</v>
      </c>
      <c r="L324" s="5" cm="1">
        <f t="array" ref="L324">K324*J324</f>
        <v>220640</v>
      </c>
      <c r="M324" s="5">
        <v>20425</v>
      </c>
      <c r="N324" s="5" cm="1">
        <f t="array" ref="N324">D324*M324</f>
        <v>0</v>
      </c>
      <c r="O324" t="s" s="4">
        <v>18</v>
      </c>
    </row>
    <row r="325" ht="15" customHeight="1">
      <c r="A325" t="s" s="3">
        <v>402</v>
      </c>
      <c r="B325" t="s" s="4">
        <v>390</v>
      </c>
      <c r="C325" s="5">
        <v>164</v>
      </c>
      <c r="D325" s="5">
        <v>0</v>
      </c>
      <c r="E325" s="5">
        <v>52</v>
      </c>
      <c r="F325" s="6">
        <v>0</v>
      </c>
      <c r="G325" t="s" s="3">
        <v>81</v>
      </c>
      <c r="H325" s="5">
        <v>164</v>
      </c>
      <c r="I325" s="7">
        <v>0.98</v>
      </c>
      <c r="J325" s="5">
        <v>1336</v>
      </c>
      <c r="K325" s="5" cm="1">
        <f t="array" ref="K325">ROUND(H325*I325,0)</f>
        <v>161</v>
      </c>
      <c r="L325" s="5" cm="1">
        <f t="array" ref="L325">K325*J325</f>
        <v>215096</v>
      </c>
      <c r="M325" s="5">
        <v>20425</v>
      </c>
      <c r="N325" s="5" cm="1">
        <f t="array" ref="N325">D325*M325</f>
        <v>0</v>
      </c>
      <c r="O325" t="s" s="4">
        <v>18</v>
      </c>
    </row>
    <row r="326" ht="15" customHeight="1">
      <c r="A326" t="s" s="13">
        <v>403</v>
      </c>
      <c r="B326" t="s" s="14">
        <v>390</v>
      </c>
      <c r="C326" s="15">
        <v>153</v>
      </c>
      <c r="D326" s="15">
        <v>1</v>
      </c>
      <c r="E326" s="15">
        <v>52</v>
      </c>
      <c r="F326" s="16" cm="1">
        <f t="array" ref="F326">ROUND(D326/E326,1)</f>
        <v>0</v>
      </c>
      <c r="G326" t="s" s="13">
        <v>32</v>
      </c>
      <c r="H326" s="15">
        <v>183</v>
      </c>
      <c r="I326" s="17">
        <v>0.95</v>
      </c>
      <c r="J326" s="15">
        <v>1436</v>
      </c>
      <c r="K326" s="15" cm="1">
        <f t="array" ref="K326">ROUND(H326*I326,0)</f>
        <v>174</v>
      </c>
      <c r="L326" s="15" cm="1">
        <f t="array" ref="L326">K326*J326</f>
        <v>249864</v>
      </c>
      <c r="M326" s="15">
        <v>20900</v>
      </c>
      <c r="N326" s="15" cm="1">
        <f t="array" ref="N326">D326*M326</f>
        <v>20900</v>
      </c>
      <c r="O326" t="s" s="14">
        <v>40</v>
      </c>
    </row>
    <row r="327" ht="15" customHeight="1">
      <c r="A327" t="s" s="13">
        <v>404</v>
      </c>
      <c r="B327" t="s" s="14">
        <v>390</v>
      </c>
      <c r="C327" s="15">
        <v>142</v>
      </c>
      <c r="D327" s="15">
        <v>14</v>
      </c>
      <c r="E327" s="15">
        <v>52</v>
      </c>
      <c r="F327" s="16" cm="1">
        <f t="array" ref="F327">ROUND(D327/E327,1)</f>
        <v>0.3</v>
      </c>
      <c r="G327" t="s" s="13">
        <v>66</v>
      </c>
      <c r="H327" s="15">
        <v>113</v>
      </c>
      <c r="I327" s="17">
        <v>0.9399999999999999</v>
      </c>
      <c r="J327" s="15">
        <v>1369</v>
      </c>
      <c r="K327" s="15" cm="1">
        <f t="array" ref="K327">ROUND(H327*I327,0)</f>
        <v>106</v>
      </c>
      <c r="L327" s="15" cm="1">
        <f t="array" ref="L327">K327*J327</f>
        <v>145114</v>
      </c>
      <c r="M327" s="15">
        <v>20900</v>
      </c>
      <c r="N327" s="15" cm="1">
        <f t="array" ref="N327">D327*M327</f>
        <v>292600</v>
      </c>
      <c r="O327" t="s" s="14">
        <v>40</v>
      </c>
    </row>
    <row r="328" ht="15" customHeight="1">
      <c r="A328" t="s" s="13">
        <v>405</v>
      </c>
      <c r="B328" t="s" s="14">
        <v>390</v>
      </c>
      <c r="C328" s="15">
        <v>208</v>
      </c>
      <c r="D328" s="15">
        <v>163</v>
      </c>
      <c r="E328" s="15">
        <v>52</v>
      </c>
      <c r="F328" s="16" cm="1">
        <f t="array" ref="F328">ROUND(D328/E328,1)</f>
        <v>3.1</v>
      </c>
      <c r="G328" t="s" s="13">
        <v>63</v>
      </c>
      <c r="H328" s="15">
        <v>208</v>
      </c>
      <c r="I328" s="17">
        <v>1.01</v>
      </c>
      <c r="J328" s="15">
        <v>1463</v>
      </c>
      <c r="K328" s="15" cm="1">
        <f t="array" ref="K328">ROUND(H328*I328,0)</f>
        <v>210</v>
      </c>
      <c r="L328" s="15" cm="1">
        <f t="array" ref="L328">K328*J328</f>
        <v>307230</v>
      </c>
      <c r="M328" s="15">
        <v>20900</v>
      </c>
      <c r="N328" s="15" cm="1">
        <f t="array" ref="N328">D328*M328</f>
        <v>3406700</v>
      </c>
      <c r="O328" t="s" s="14">
        <v>40</v>
      </c>
    </row>
    <row r="329" ht="15" customHeight="1">
      <c r="A329" t="s" s="13">
        <v>406</v>
      </c>
      <c r="B329" t="s" s="14">
        <v>390</v>
      </c>
      <c r="C329" s="15">
        <v>216</v>
      </c>
      <c r="D329" s="15">
        <v>127</v>
      </c>
      <c r="E329" s="15">
        <v>52</v>
      </c>
      <c r="F329" s="16" cm="1">
        <f t="array" ref="F329">ROUND(D329/E329,1)</f>
        <v>2.4</v>
      </c>
      <c r="G329" t="s" s="13">
        <v>24</v>
      </c>
      <c r="H329" s="15">
        <v>259</v>
      </c>
      <c r="I329" s="17">
        <v>1.1</v>
      </c>
      <c r="J329" s="15">
        <v>1479</v>
      </c>
      <c r="K329" s="15" cm="1">
        <f t="array" ref="K329">ROUND(H329*I329,0)</f>
        <v>285</v>
      </c>
      <c r="L329" s="15" cm="1">
        <f t="array" ref="L329">K329*J329</f>
        <v>421515</v>
      </c>
      <c r="M329" s="15">
        <v>21375</v>
      </c>
      <c r="N329" s="15" cm="1">
        <f t="array" ref="N329">D329*M329</f>
        <v>2714625</v>
      </c>
      <c r="O329" t="s" s="14">
        <v>40</v>
      </c>
    </row>
    <row r="330" ht="15" customHeight="1">
      <c r="A330" t="s" s="3">
        <v>407</v>
      </c>
      <c r="B330" t="s" s="4">
        <v>408</v>
      </c>
      <c r="C330" s="5">
        <v>6</v>
      </c>
      <c r="D330" s="5">
        <v>0</v>
      </c>
      <c r="E330" s="5">
        <v>1</v>
      </c>
      <c r="F330" s="6">
        <v>0</v>
      </c>
      <c r="G330" t="s" s="3">
        <v>79</v>
      </c>
      <c r="H330" s="5">
        <v>7</v>
      </c>
      <c r="I330" s="7">
        <v>126.19</v>
      </c>
      <c r="J330" s="5">
        <v>1125</v>
      </c>
      <c r="K330" s="5" cm="1">
        <f t="array" ref="K330">ROUND(H330*I330,0)</f>
        <v>883</v>
      </c>
      <c r="L330" s="5" cm="1">
        <f t="array" ref="L330">K330*J330</f>
        <v>993375</v>
      </c>
      <c r="M330" s="5">
        <v>850000</v>
      </c>
      <c r="N330" s="5" cm="1">
        <f t="array" ref="N330">D330*M330</f>
        <v>0</v>
      </c>
      <c r="O330" t="s" s="4">
        <v>18</v>
      </c>
    </row>
    <row r="331" ht="15" customHeight="1">
      <c r="A331" t="s" s="3">
        <v>409</v>
      </c>
      <c r="B331" t="s" s="4">
        <v>408</v>
      </c>
      <c r="C331" s="5">
        <v>9</v>
      </c>
      <c r="D331" s="5">
        <v>0</v>
      </c>
      <c r="E331" s="5">
        <v>1</v>
      </c>
      <c r="F331" s="6">
        <v>0</v>
      </c>
      <c r="G331" t="s" s="3">
        <v>49</v>
      </c>
      <c r="H331" s="5">
        <v>10</v>
      </c>
      <c r="I331" s="7">
        <v>137.94</v>
      </c>
      <c r="J331" s="5">
        <v>1144</v>
      </c>
      <c r="K331" s="5" cm="1">
        <f t="array" ref="K331">ROUND(H331*I331,0)</f>
        <v>1379</v>
      </c>
      <c r="L331" s="5" cm="1">
        <f t="array" ref="L331">K331*J331</f>
        <v>1577576</v>
      </c>
      <c r="M331" s="5">
        <v>850000</v>
      </c>
      <c r="N331" s="5" cm="1">
        <f t="array" ref="N331">D331*M331</f>
        <v>0</v>
      </c>
      <c r="O331" t="s" s="4">
        <v>18</v>
      </c>
    </row>
    <row r="332" ht="15" customHeight="1">
      <c r="A332" t="s" s="3">
        <v>410</v>
      </c>
      <c r="B332" t="s" s="4">
        <v>408</v>
      </c>
      <c r="C332" s="5">
        <v>9</v>
      </c>
      <c r="D332" s="5">
        <v>0</v>
      </c>
      <c r="E332" s="5">
        <v>1</v>
      </c>
      <c r="F332" s="6">
        <v>0</v>
      </c>
      <c r="G332" t="s" s="3">
        <v>79</v>
      </c>
      <c r="H332" s="5">
        <v>10</v>
      </c>
      <c r="I332" s="7">
        <v>138.01</v>
      </c>
      <c r="J332" s="5">
        <v>1165</v>
      </c>
      <c r="K332" s="5" cm="1">
        <f t="array" ref="K332">ROUND(H332*I332,0)</f>
        <v>1380</v>
      </c>
      <c r="L332" s="5" cm="1">
        <f t="array" ref="L332">K332*J332</f>
        <v>1607700</v>
      </c>
      <c r="M332" s="5">
        <v>850000</v>
      </c>
      <c r="N332" s="5" cm="1">
        <f t="array" ref="N332">D332*M332</f>
        <v>0</v>
      </c>
      <c r="O332" t="s" s="4">
        <v>18</v>
      </c>
    </row>
    <row r="333" ht="15" customHeight="1">
      <c r="A333" t="s" s="3">
        <v>411</v>
      </c>
      <c r="B333" t="s" s="4">
        <v>408</v>
      </c>
      <c r="C333" s="5">
        <v>7</v>
      </c>
      <c r="D333" s="5">
        <v>0</v>
      </c>
      <c r="E333" s="5">
        <v>1</v>
      </c>
      <c r="F333" s="6">
        <v>0</v>
      </c>
      <c r="G333" t="s" s="3">
        <v>61</v>
      </c>
      <c r="H333" s="5">
        <v>5</v>
      </c>
      <c r="I333" s="7">
        <v>132.41</v>
      </c>
      <c r="J333" s="5">
        <v>1257</v>
      </c>
      <c r="K333" s="5" cm="1">
        <f t="array" ref="K333">ROUND(H333*I333,0)</f>
        <v>662</v>
      </c>
      <c r="L333" s="5" cm="1">
        <f t="array" ref="L333">K333*J333</f>
        <v>832134</v>
      </c>
      <c r="M333" s="5">
        <v>871250</v>
      </c>
      <c r="N333" s="5" cm="1">
        <f t="array" ref="N333">D333*M333</f>
        <v>0</v>
      </c>
      <c r="O333" t="s" s="4">
        <v>18</v>
      </c>
    </row>
    <row r="334" ht="15" customHeight="1">
      <c r="A334" t="s" s="3">
        <v>412</v>
      </c>
      <c r="B334" t="s" s="4">
        <v>408</v>
      </c>
      <c r="C334" s="5">
        <v>6</v>
      </c>
      <c r="D334" s="5">
        <v>0</v>
      </c>
      <c r="E334" s="5">
        <v>1</v>
      </c>
      <c r="F334" s="6">
        <v>0</v>
      </c>
      <c r="G334" t="s" s="3">
        <v>102</v>
      </c>
      <c r="H334" s="5">
        <v>4</v>
      </c>
      <c r="I334" s="7">
        <v>130.72</v>
      </c>
      <c r="J334" s="5">
        <v>1295</v>
      </c>
      <c r="K334" s="5" cm="1">
        <f t="array" ref="K334">ROUND(H334*I334,0)</f>
        <v>523</v>
      </c>
      <c r="L334" s="5" cm="1">
        <f t="array" ref="L334">K334*J334</f>
        <v>677285</v>
      </c>
      <c r="M334" s="5">
        <v>871250</v>
      </c>
      <c r="N334" s="5" cm="1">
        <f t="array" ref="N334">D334*M334</f>
        <v>0</v>
      </c>
      <c r="O334" t="s" s="4">
        <v>18</v>
      </c>
    </row>
    <row r="335" ht="15" customHeight="1">
      <c r="A335" t="s" s="3">
        <v>413</v>
      </c>
      <c r="B335" t="s" s="4">
        <v>408</v>
      </c>
      <c r="C335" s="5">
        <v>8</v>
      </c>
      <c r="D335" s="5">
        <v>0</v>
      </c>
      <c r="E335" s="5">
        <v>1</v>
      </c>
      <c r="F335" s="6">
        <v>0</v>
      </c>
      <c r="G335" t="s" s="3">
        <v>102</v>
      </c>
      <c r="H335" s="5">
        <v>8</v>
      </c>
      <c r="I335" s="7">
        <v>139.17</v>
      </c>
      <c r="J335" s="5">
        <v>1280</v>
      </c>
      <c r="K335" s="5" cm="1">
        <f t="array" ref="K335">ROUND(H335*I335,0)</f>
        <v>1113</v>
      </c>
      <c r="L335" s="5" cm="1">
        <f t="array" ref="L335">K335*J335</f>
        <v>1424640</v>
      </c>
      <c r="M335" s="5">
        <v>892500</v>
      </c>
      <c r="N335" s="5" cm="1">
        <f t="array" ref="N335">D335*M335</f>
        <v>0</v>
      </c>
      <c r="O335" t="s" s="4">
        <v>18</v>
      </c>
    </row>
    <row r="336" ht="15" customHeight="1">
      <c r="A336" t="s" s="3">
        <v>414</v>
      </c>
      <c r="B336" t="s" s="4">
        <v>408</v>
      </c>
      <c r="C336" s="5">
        <v>9</v>
      </c>
      <c r="D336" s="5">
        <v>0</v>
      </c>
      <c r="E336" s="5">
        <v>1</v>
      </c>
      <c r="F336" s="6">
        <v>0</v>
      </c>
      <c r="G336" t="s" s="3">
        <v>81</v>
      </c>
      <c r="H336" s="5">
        <v>9</v>
      </c>
      <c r="I336" s="7">
        <v>140.22</v>
      </c>
      <c r="J336" s="5">
        <v>1298</v>
      </c>
      <c r="K336" s="5" cm="1">
        <f t="array" ref="K336">ROUND(H336*I336,0)</f>
        <v>1262</v>
      </c>
      <c r="L336" s="5" cm="1">
        <f t="array" ref="L336">K336*J336</f>
        <v>1638076</v>
      </c>
      <c r="M336" s="5">
        <v>892500</v>
      </c>
      <c r="N336" s="5" cm="1">
        <f t="array" ref="N336">D336*M336</f>
        <v>0</v>
      </c>
      <c r="O336" t="s" s="4">
        <v>18</v>
      </c>
    </row>
    <row r="337" ht="15" customHeight="1">
      <c r="A337" t="s" s="3">
        <v>415</v>
      </c>
      <c r="B337" t="s" s="4">
        <v>408</v>
      </c>
      <c r="C337" s="5">
        <v>5</v>
      </c>
      <c r="D337" s="5">
        <v>0</v>
      </c>
      <c r="E337" s="5">
        <v>1</v>
      </c>
      <c r="F337" s="6">
        <v>0</v>
      </c>
      <c r="G337" t="s" s="3">
        <v>54</v>
      </c>
      <c r="H337" s="5">
        <v>6</v>
      </c>
      <c r="I337" s="7">
        <v>144.24</v>
      </c>
      <c r="J337" s="5">
        <v>1331</v>
      </c>
      <c r="K337" s="5" cm="1">
        <f t="array" ref="K337">ROUND(H337*I337,0)</f>
        <v>865</v>
      </c>
      <c r="L337" s="5" cm="1">
        <f t="array" ref="L337">K337*J337</f>
        <v>1151315</v>
      </c>
      <c r="M337" s="5">
        <v>892500</v>
      </c>
      <c r="N337" s="5" cm="1">
        <f t="array" ref="N337">D337*M337</f>
        <v>0</v>
      </c>
      <c r="O337" t="s" s="4">
        <v>18</v>
      </c>
    </row>
    <row r="338" ht="15" customHeight="1">
      <c r="A338" t="s" s="3">
        <v>416</v>
      </c>
      <c r="B338" t="s" s="4">
        <v>408</v>
      </c>
      <c r="C338" s="5">
        <v>9</v>
      </c>
      <c r="D338" s="5">
        <v>0</v>
      </c>
      <c r="E338" s="5">
        <v>1</v>
      </c>
      <c r="F338" s="6">
        <v>0</v>
      </c>
      <c r="G338" t="s" s="3">
        <v>130</v>
      </c>
      <c r="H338" s="5">
        <v>10</v>
      </c>
      <c r="I338" s="7">
        <v>135</v>
      </c>
      <c r="J338" s="5">
        <v>1373</v>
      </c>
      <c r="K338" s="5" cm="1">
        <f t="array" ref="K338">ROUND(H338*I338,0)</f>
        <v>1350</v>
      </c>
      <c r="L338" s="5" cm="1">
        <f t="array" ref="L338">K338*J338</f>
        <v>1853550</v>
      </c>
      <c r="M338" s="5">
        <v>913750</v>
      </c>
      <c r="N338" s="5" cm="1">
        <f t="array" ref="N338">D338*M338</f>
        <v>0</v>
      </c>
      <c r="O338" t="s" s="4">
        <v>18</v>
      </c>
    </row>
    <row r="339" ht="15" customHeight="1">
      <c r="A339" t="s" s="13">
        <v>417</v>
      </c>
      <c r="B339" t="s" s="14">
        <v>408</v>
      </c>
      <c r="C339" s="15">
        <v>9</v>
      </c>
      <c r="D339" s="15">
        <v>1</v>
      </c>
      <c r="E339" s="15">
        <v>1</v>
      </c>
      <c r="F339" s="16" cm="1">
        <f t="array" ref="F339">ROUND(D339/E339,1)</f>
        <v>1</v>
      </c>
      <c r="G339" t="s" s="13">
        <v>17</v>
      </c>
      <c r="H339" s="15">
        <v>9</v>
      </c>
      <c r="I339" s="17">
        <v>143.15</v>
      </c>
      <c r="J339" s="15">
        <v>1336</v>
      </c>
      <c r="K339" s="15" cm="1">
        <f t="array" ref="K339">ROUND(H339*I339,0)</f>
        <v>1288</v>
      </c>
      <c r="L339" s="15" cm="1">
        <f t="array" ref="L339">K339*J339</f>
        <v>1720768</v>
      </c>
      <c r="M339" s="15">
        <v>913750</v>
      </c>
      <c r="N339" s="15" cm="1">
        <f t="array" ref="N339">D339*M339</f>
        <v>913750</v>
      </c>
      <c r="O339" t="s" s="14">
        <v>40</v>
      </c>
    </row>
    <row r="340" ht="15" customHeight="1">
      <c r="A340" t="s" s="3">
        <v>418</v>
      </c>
      <c r="B340" t="s" s="4">
        <v>408</v>
      </c>
      <c r="C340" s="5">
        <v>9</v>
      </c>
      <c r="D340" s="5">
        <v>0</v>
      </c>
      <c r="E340" s="5">
        <v>1</v>
      </c>
      <c r="F340" s="6">
        <v>0</v>
      </c>
      <c r="G340" t="s" s="3">
        <v>68</v>
      </c>
      <c r="H340" s="5">
        <v>7</v>
      </c>
      <c r="I340" s="7">
        <v>142.48</v>
      </c>
      <c r="J340" s="5">
        <v>1466</v>
      </c>
      <c r="K340" s="5" cm="1">
        <f t="array" ref="K340">ROUND(H340*I340,0)</f>
        <v>997</v>
      </c>
      <c r="L340" s="5" cm="1">
        <f t="array" ref="L340">K340*J340</f>
        <v>1461602</v>
      </c>
      <c r="M340" s="5">
        <v>913750</v>
      </c>
      <c r="N340" s="5" cm="1">
        <f t="array" ref="N340">D340*M340</f>
        <v>0</v>
      </c>
      <c r="O340" t="s" s="4">
        <v>18</v>
      </c>
    </row>
    <row r="341" ht="15" customHeight="1">
      <c r="A341" t="s" s="13">
        <v>419</v>
      </c>
      <c r="B341" t="s" s="14">
        <v>408</v>
      </c>
      <c r="C341" s="15">
        <v>8</v>
      </c>
      <c r="D341" s="15">
        <v>1</v>
      </c>
      <c r="E341" s="15">
        <v>1</v>
      </c>
      <c r="F341" s="16" cm="1">
        <f t="array" ref="F341">ROUND(D341/E341,1)</f>
        <v>1</v>
      </c>
      <c r="G341" t="s" s="13">
        <v>22</v>
      </c>
      <c r="H341" s="15">
        <v>6</v>
      </c>
      <c r="I341" s="17">
        <v>145.53</v>
      </c>
      <c r="J341" s="15">
        <v>1452</v>
      </c>
      <c r="K341" s="15" cm="1">
        <f t="array" ref="K341">ROUND(H341*I341,0)</f>
        <v>873</v>
      </c>
      <c r="L341" s="15" cm="1">
        <f t="array" ref="L341">K341*J341</f>
        <v>1267596</v>
      </c>
      <c r="M341" s="15">
        <v>935000</v>
      </c>
      <c r="N341" s="15" cm="1">
        <f t="array" ref="N341">D341*M341</f>
        <v>935000</v>
      </c>
      <c r="O341" t="s" s="14">
        <v>40</v>
      </c>
    </row>
    <row r="342" ht="15" customHeight="1">
      <c r="A342" t="s" s="13">
        <v>420</v>
      </c>
      <c r="B342" t="s" s="14">
        <v>408</v>
      </c>
      <c r="C342" s="15">
        <v>9</v>
      </c>
      <c r="D342" s="15">
        <v>1</v>
      </c>
      <c r="E342" s="15">
        <v>1</v>
      </c>
      <c r="F342" s="16" cm="1">
        <f t="array" ref="F342">ROUND(D342/E342,1)</f>
        <v>1</v>
      </c>
      <c r="G342" t="s" s="13">
        <v>45</v>
      </c>
      <c r="H342" s="15">
        <v>9</v>
      </c>
      <c r="I342" s="17">
        <v>136.03</v>
      </c>
      <c r="J342" s="15">
        <v>1370</v>
      </c>
      <c r="K342" s="15" cm="1">
        <f t="array" ref="K342">ROUND(H342*I342,0)</f>
        <v>1224</v>
      </c>
      <c r="L342" s="15" cm="1">
        <f t="array" ref="L342">K342*J342</f>
        <v>1676880</v>
      </c>
      <c r="M342" s="15">
        <v>935000</v>
      </c>
      <c r="N342" s="15" cm="1">
        <f t="array" ref="N342">D342*M342</f>
        <v>935000</v>
      </c>
      <c r="O342" t="s" s="14">
        <v>40</v>
      </c>
    </row>
    <row r="343" ht="15" customHeight="1">
      <c r="A343" t="s" s="13">
        <v>421</v>
      </c>
      <c r="B343" t="s" s="14">
        <v>408</v>
      </c>
      <c r="C343" s="15">
        <v>9</v>
      </c>
      <c r="D343" s="15">
        <v>6</v>
      </c>
      <c r="E343" s="15">
        <v>1</v>
      </c>
      <c r="F343" s="16" cm="1">
        <f t="array" ref="F343">ROUND(D343/E343,1)</f>
        <v>6</v>
      </c>
      <c r="G343" t="s" s="13">
        <v>79</v>
      </c>
      <c r="H343" s="15">
        <v>7</v>
      </c>
      <c r="I343" s="17">
        <v>157.16</v>
      </c>
      <c r="J343" s="15">
        <v>1423</v>
      </c>
      <c r="K343" s="15" cm="1">
        <f t="array" ref="K343">ROUND(H343*I343,0)</f>
        <v>1100</v>
      </c>
      <c r="L343" s="15" cm="1">
        <f t="array" ref="L343">K343*J343</f>
        <v>1565300</v>
      </c>
      <c r="M343" s="15">
        <v>935000</v>
      </c>
      <c r="N343" s="15" cm="1">
        <f t="array" ref="N343">D343*M343</f>
        <v>5610000</v>
      </c>
      <c r="O343" t="s" s="14">
        <v>40</v>
      </c>
    </row>
    <row r="344" ht="15" customHeight="1">
      <c r="A344" t="s" s="13">
        <v>422</v>
      </c>
      <c r="B344" t="s" s="14">
        <v>408</v>
      </c>
      <c r="C344" s="15">
        <v>7</v>
      </c>
      <c r="D344" s="15">
        <v>3</v>
      </c>
      <c r="E344" s="15">
        <v>1</v>
      </c>
      <c r="F344" s="16" cm="1">
        <f t="array" ref="F344">ROUND(D344/E344,1)</f>
        <v>3</v>
      </c>
      <c r="G344" t="s" s="13">
        <v>45</v>
      </c>
      <c r="H344" s="15">
        <v>7</v>
      </c>
      <c r="I344" s="17">
        <v>135.85</v>
      </c>
      <c r="J344" s="15">
        <v>1474</v>
      </c>
      <c r="K344" s="15" cm="1">
        <f t="array" ref="K344">ROUND(H344*I344,0)</f>
        <v>951</v>
      </c>
      <c r="L344" s="15" cm="1">
        <f t="array" ref="L344">K344*J344</f>
        <v>1401774</v>
      </c>
      <c r="M344" s="15">
        <v>956250</v>
      </c>
      <c r="N344" s="15" cm="1">
        <f t="array" ref="N344">D344*M344</f>
        <v>2868750</v>
      </c>
      <c r="O344" t="s" s="14">
        <v>40</v>
      </c>
    </row>
    <row r="345" ht="15" customHeight="1">
      <c r="A345" t="s" s="3">
        <v>423</v>
      </c>
      <c r="B345" t="s" s="4">
        <v>424</v>
      </c>
      <c r="C345" s="5">
        <v>114</v>
      </c>
      <c r="D345" s="5">
        <v>0</v>
      </c>
      <c r="E345" s="5">
        <v>34</v>
      </c>
      <c r="F345" s="6">
        <v>0</v>
      </c>
      <c r="G345" t="s" s="3">
        <v>51</v>
      </c>
      <c r="H345" s="5">
        <v>136</v>
      </c>
      <c r="I345" s="7">
        <v>3.46</v>
      </c>
      <c r="J345" s="5">
        <v>1112</v>
      </c>
      <c r="K345" s="5" cm="1">
        <f t="array" ref="K345">ROUND(H345*I345,0)</f>
        <v>471</v>
      </c>
      <c r="L345" s="5" cm="1">
        <f t="array" ref="L345">K345*J345</f>
        <v>523752</v>
      </c>
      <c r="M345" s="5">
        <v>29000</v>
      </c>
      <c r="N345" s="5" cm="1">
        <f t="array" ref="N345">D345*M345</f>
        <v>0</v>
      </c>
      <c r="O345" t="s" s="4">
        <v>18</v>
      </c>
    </row>
    <row r="346" ht="15" customHeight="1">
      <c r="A346" t="s" s="3">
        <v>425</v>
      </c>
      <c r="B346" t="s" s="4">
        <v>424</v>
      </c>
      <c r="C346" s="5">
        <v>173</v>
      </c>
      <c r="D346" s="5">
        <v>0</v>
      </c>
      <c r="E346" s="5">
        <v>34</v>
      </c>
      <c r="F346" s="6">
        <v>0</v>
      </c>
      <c r="G346" t="s" s="3">
        <v>68</v>
      </c>
      <c r="H346" s="5">
        <v>173</v>
      </c>
      <c r="I346" s="7">
        <v>3.38</v>
      </c>
      <c r="J346" s="5">
        <v>1150</v>
      </c>
      <c r="K346" s="5" cm="1">
        <f t="array" ref="K346">ROUND(H346*I346,0)</f>
        <v>585</v>
      </c>
      <c r="L346" s="5" cm="1">
        <f t="array" ref="L346">K346*J346</f>
        <v>672750</v>
      </c>
      <c r="M346" s="5">
        <v>29000</v>
      </c>
      <c r="N346" s="5" cm="1">
        <f t="array" ref="N346">D346*M346</f>
        <v>0</v>
      </c>
      <c r="O346" t="s" s="4">
        <v>18</v>
      </c>
    </row>
    <row r="347" ht="15" customHeight="1">
      <c r="A347" t="s" s="3">
        <v>426</v>
      </c>
      <c r="B347" t="s" s="4">
        <v>424</v>
      </c>
      <c r="C347" s="5">
        <v>108</v>
      </c>
      <c r="D347" s="5">
        <v>0</v>
      </c>
      <c r="E347" s="5">
        <v>34</v>
      </c>
      <c r="F347" s="6">
        <v>0</v>
      </c>
      <c r="G347" t="s" s="3">
        <v>47</v>
      </c>
      <c r="H347" s="5">
        <v>86</v>
      </c>
      <c r="I347" s="7">
        <v>3.77</v>
      </c>
      <c r="J347" s="5">
        <v>1404</v>
      </c>
      <c r="K347" s="5" cm="1">
        <f t="array" ref="K347">ROUND(H347*I347,0)</f>
        <v>324</v>
      </c>
      <c r="L347" s="5" cm="1">
        <f t="array" ref="L347">K347*J347</f>
        <v>454896</v>
      </c>
      <c r="M347" s="5">
        <v>29725</v>
      </c>
      <c r="N347" s="5" cm="1">
        <f t="array" ref="N347">D347*M347</f>
        <v>0</v>
      </c>
      <c r="O347" t="s" s="4">
        <v>18</v>
      </c>
    </row>
    <row r="348" ht="15" customHeight="1">
      <c r="A348" t="s" s="3">
        <v>427</v>
      </c>
      <c r="B348" t="s" s="4">
        <v>424</v>
      </c>
      <c r="C348" s="5">
        <v>175</v>
      </c>
      <c r="D348" s="5">
        <v>0</v>
      </c>
      <c r="E348" s="5">
        <v>34</v>
      </c>
      <c r="F348" s="6">
        <v>0</v>
      </c>
      <c r="G348" t="s" s="3">
        <v>17</v>
      </c>
      <c r="H348" s="5">
        <v>175</v>
      </c>
      <c r="I348" s="7">
        <v>3.56</v>
      </c>
      <c r="J348" s="5">
        <v>1298</v>
      </c>
      <c r="K348" s="5" cm="1">
        <f t="array" ref="K348">ROUND(H348*I348,0)</f>
        <v>623</v>
      </c>
      <c r="L348" s="5" cm="1">
        <f t="array" ref="L348">K348*J348</f>
        <v>808654</v>
      </c>
      <c r="M348" s="5">
        <v>29725</v>
      </c>
      <c r="N348" s="5" cm="1">
        <f t="array" ref="N348">D348*M348</f>
        <v>0</v>
      </c>
      <c r="O348" t="s" s="4">
        <v>18</v>
      </c>
    </row>
    <row r="349" ht="15" customHeight="1">
      <c r="A349" t="s" s="3">
        <v>428</v>
      </c>
      <c r="B349" t="s" s="4">
        <v>424</v>
      </c>
      <c r="C349" s="5">
        <v>97</v>
      </c>
      <c r="D349" s="5">
        <v>0</v>
      </c>
      <c r="E349" s="5">
        <v>34</v>
      </c>
      <c r="F349" s="6">
        <v>0</v>
      </c>
      <c r="G349" t="s" s="3">
        <v>57</v>
      </c>
      <c r="H349" s="5">
        <v>116</v>
      </c>
      <c r="I349" s="7">
        <v>3.82</v>
      </c>
      <c r="J349" s="5">
        <v>1334</v>
      </c>
      <c r="K349" s="5" cm="1">
        <f t="array" ref="K349">ROUND(H349*I349,0)</f>
        <v>443</v>
      </c>
      <c r="L349" s="5" cm="1">
        <f t="array" ref="L349">K349*J349</f>
        <v>590962</v>
      </c>
      <c r="M349" s="5">
        <v>30450</v>
      </c>
      <c r="N349" s="5" cm="1">
        <f t="array" ref="N349">D349*M349</f>
        <v>0</v>
      </c>
      <c r="O349" t="s" s="4">
        <v>18</v>
      </c>
    </row>
    <row r="350" ht="15" customHeight="1">
      <c r="A350" t="s" s="3">
        <v>429</v>
      </c>
      <c r="B350" t="s" s="4">
        <v>424</v>
      </c>
      <c r="C350" s="5">
        <v>94</v>
      </c>
      <c r="D350" s="5">
        <v>0</v>
      </c>
      <c r="E350" s="5">
        <v>34</v>
      </c>
      <c r="F350" s="6">
        <v>0</v>
      </c>
      <c r="G350" t="s" s="3">
        <v>63</v>
      </c>
      <c r="H350" s="5">
        <v>112</v>
      </c>
      <c r="I350" s="7">
        <v>3.85</v>
      </c>
      <c r="J350" s="5">
        <v>1319</v>
      </c>
      <c r="K350" s="5" cm="1">
        <f t="array" ref="K350">ROUND(H350*I350,0)</f>
        <v>431</v>
      </c>
      <c r="L350" s="5" cm="1">
        <f t="array" ref="L350">K350*J350</f>
        <v>568489</v>
      </c>
      <c r="M350" s="5">
        <v>30450</v>
      </c>
      <c r="N350" s="5" cm="1">
        <f t="array" ref="N350">D350*M350</f>
        <v>0</v>
      </c>
      <c r="O350" t="s" s="4">
        <v>18</v>
      </c>
    </row>
    <row r="351" ht="15" customHeight="1">
      <c r="A351" t="s" s="3">
        <v>430</v>
      </c>
      <c r="B351" t="s" s="4">
        <v>424</v>
      </c>
      <c r="C351" s="5">
        <v>160</v>
      </c>
      <c r="D351" s="5">
        <v>0</v>
      </c>
      <c r="E351" s="5">
        <v>34</v>
      </c>
      <c r="F351" s="6">
        <v>0</v>
      </c>
      <c r="G351" t="s" s="3">
        <v>66</v>
      </c>
      <c r="H351" s="5">
        <v>160</v>
      </c>
      <c r="I351" s="7">
        <v>3.54</v>
      </c>
      <c r="J351" s="5">
        <v>1329</v>
      </c>
      <c r="K351" s="5" cm="1">
        <f t="array" ref="K351">ROUND(H351*I351,0)</f>
        <v>566</v>
      </c>
      <c r="L351" s="5" cm="1">
        <f t="array" ref="L351">K351*J351</f>
        <v>752214</v>
      </c>
      <c r="M351" s="5">
        <v>31175</v>
      </c>
      <c r="N351" s="5" cm="1">
        <f t="array" ref="N351">D351*M351</f>
        <v>0</v>
      </c>
      <c r="O351" t="s" s="4">
        <v>18</v>
      </c>
    </row>
    <row r="352" ht="15" customHeight="1">
      <c r="A352" t="s" s="3">
        <v>431</v>
      </c>
      <c r="B352" t="s" s="4">
        <v>424</v>
      </c>
      <c r="C352" s="5">
        <v>157</v>
      </c>
      <c r="D352" s="5">
        <v>0</v>
      </c>
      <c r="E352" s="5">
        <v>34</v>
      </c>
      <c r="F352" s="6">
        <v>0</v>
      </c>
      <c r="G352" t="s" s="3">
        <v>26</v>
      </c>
      <c r="H352" s="5">
        <v>157</v>
      </c>
      <c r="I352" s="7">
        <v>3.86</v>
      </c>
      <c r="J352" s="5">
        <v>1337</v>
      </c>
      <c r="K352" s="5" cm="1">
        <f t="array" ref="K352">ROUND(H352*I352,0)</f>
        <v>606</v>
      </c>
      <c r="L352" s="5" cm="1">
        <f t="array" ref="L352">K352*J352</f>
        <v>810222</v>
      </c>
      <c r="M352" s="5">
        <v>31175</v>
      </c>
      <c r="N352" s="5" cm="1">
        <f t="array" ref="N352">D352*M352</f>
        <v>0</v>
      </c>
      <c r="O352" t="s" s="4">
        <v>18</v>
      </c>
    </row>
    <row r="353" ht="15" customHeight="1">
      <c r="A353" t="s" s="3">
        <v>432</v>
      </c>
      <c r="B353" t="s" s="4">
        <v>424</v>
      </c>
      <c r="C353" s="5">
        <v>149</v>
      </c>
      <c r="D353" s="5">
        <v>0</v>
      </c>
      <c r="E353" s="5">
        <v>34</v>
      </c>
      <c r="F353" s="6">
        <v>0</v>
      </c>
      <c r="G353" t="s" s="3">
        <v>47</v>
      </c>
      <c r="H353" s="5">
        <v>149</v>
      </c>
      <c r="I353" s="7">
        <v>3.75</v>
      </c>
      <c r="J353" s="5">
        <v>1345</v>
      </c>
      <c r="K353" s="5" cm="1">
        <f t="array" ref="K353">ROUND(H353*I353,0)</f>
        <v>559</v>
      </c>
      <c r="L353" s="5" cm="1">
        <f t="array" ref="L353">K353*J353</f>
        <v>751855</v>
      </c>
      <c r="M353" s="5">
        <v>31175</v>
      </c>
      <c r="N353" s="5" cm="1">
        <f t="array" ref="N353">D353*M353</f>
        <v>0</v>
      </c>
      <c r="O353" t="s" s="4">
        <v>18</v>
      </c>
    </row>
    <row r="354" ht="15" customHeight="1">
      <c r="A354" t="s" s="3">
        <v>433</v>
      </c>
      <c r="B354" t="s" s="4">
        <v>424</v>
      </c>
      <c r="C354" s="5">
        <v>104</v>
      </c>
      <c r="D354" s="5">
        <v>0</v>
      </c>
      <c r="E354" s="5">
        <v>34</v>
      </c>
      <c r="F354" s="6">
        <v>0</v>
      </c>
      <c r="G354" t="s" s="3">
        <v>79</v>
      </c>
      <c r="H354" s="5">
        <v>83</v>
      </c>
      <c r="I354" s="7">
        <v>4.46</v>
      </c>
      <c r="J354" s="5">
        <v>1462</v>
      </c>
      <c r="K354" s="5" cm="1">
        <f t="array" ref="K354">ROUND(H354*I354,0)</f>
        <v>370</v>
      </c>
      <c r="L354" s="5" cm="1">
        <f t="array" ref="L354">K354*J354</f>
        <v>540940</v>
      </c>
      <c r="M354" s="5">
        <v>31900</v>
      </c>
      <c r="N354" s="5" cm="1">
        <f t="array" ref="N354">D354*M354</f>
        <v>0</v>
      </c>
      <c r="O354" t="s" s="4">
        <v>18</v>
      </c>
    </row>
    <row r="355" ht="15" customHeight="1">
      <c r="A355" t="s" s="3">
        <v>434</v>
      </c>
      <c r="B355" t="s" s="4">
        <v>424</v>
      </c>
      <c r="C355" s="5">
        <v>149</v>
      </c>
      <c r="D355" s="5">
        <v>0</v>
      </c>
      <c r="E355" s="5">
        <v>34</v>
      </c>
      <c r="F355" s="6">
        <v>0</v>
      </c>
      <c r="G355" t="s" s="3">
        <v>32</v>
      </c>
      <c r="H355" s="5">
        <v>149</v>
      </c>
      <c r="I355" s="7">
        <v>4.03</v>
      </c>
      <c r="J355" s="5">
        <v>1441</v>
      </c>
      <c r="K355" s="5" cm="1">
        <f t="array" ref="K355">ROUND(H355*I355,0)</f>
        <v>600</v>
      </c>
      <c r="L355" s="5" cm="1">
        <f t="array" ref="L355">K355*J355</f>
        <v>864600</v>
      </c>
      <c r="M355" s="5">
        <v>31900</v>
      </c>
      <c r="N355" s="5" cm="1">
        <f t="array" ref="N355">D355*M355</f>
        <v>0</v>
      </c>
      <c r="O355" t="s" s="4">
        <v>18</v>
      </c>
    </row>
    <row r="356" ht="15" customHeight="1">
      <c r="A356" t="s" s="13">
        <v>435</v>
      </c>
      <c r="B356" t="s" s="14">
        <v>424</v>
      </c>
      <c r="C356" s="15">
        <v>118</v>
      </c>
      <c r="D356" s="15">
        <v>65</v>
      </c>
      <c r="E356" s="15">
        <v>34</v>
      </c>
      <c r="F356" s="16" cm="1">
        <f t="array" ref="F356">ROUND(D356/E356,1)</f>
        <v>1.9</v>
      </c>
      <c r="G356" t="s" s="13">
        <v>102</v>
      </c>
      <c r="H356" s="15">
        <v>141</v>
      </c>
      <c r="I356" s="17">
        <v>4.13</v>
      </c>
      <c r="J356" s="15">
        <v>1466</v>
      </c>
      <c r="K356" s="15" cm="1">
        <f t="array" ref="K356">ROUND(H356*I356,0)</f>
        <v>582</v>
      </c>
      <c r="L356" s="15" cm="1">
        <f t="array" ref="L356">K356*J356</f>
        <v>853212</v>
      </c>
      <c r="M356" s="15">
        <v>32625</v>
      </c>
      <c r="N356" s="15" cm="1">
        <f t="array" ref="N356">D356*M356</f>
        <v>2120625</v>
      </c>
      <c r="O356" t="s" s="14">
        <v>40</v>
      </c>
    </row>
    <row r="357" ht="15" customHeight="1">
      <c r="A357" t="s" s="3">
        <v>436</v>
      </c>
      <c r="B357" t="s" s="4">
        <v>437</v>
      </c>
      <c r="C357" s="5">
        <v>335</v>
      </c>
      <c r="D357" s="5">
        <v>0</v>
      </c>
      <c r="E357" s="5">
        <v>150</v>
      </c>
      <c r="F357" s="6">
        <v>0</v>
      </c>
      <c r="G357" t="s" s="3">
        <v>45</v>
      </c>
      <c r="H357" s="5">
        <v>268</v>
      </c>
      <c r="I357" s="7">
        <v>0.22</v>
      </c>
      <c r="J357" s="5">
        <v>1098</v>
      </c>
      <c r="K357" s="5" cm="1">
        <f t="array" ref="K357">ROUND(H357*I357,0)</f>
        <v>59</v>
      </c>
      <c r="L357" s="5" cm="1">
        <f t="array" ref="L357">K357*J357</f>
        <v>64782</v>
      </c>
      <c r="M357" s="5">
        <v>16000</v>
      </c>
      <c r="N357" s="5" cm="1">
        <f t="array" ref="N357">D357*M357</f>
        <v>0</v>
      </c>
      <c r="O357" t="s" s="4">
        <v>18</v>
      </c>
    </row>
    <row r="358" ht="15" customHeight="1">
      <c r="A358" t="s" s="3">
        <v>438</v>
      </c>
      <c r="B358" t="s" s="4">
        <v>437</v>
      </c>
      <c r="C358" s="5">
        <v>453</v>
      </c>
      <c r="D358" s="5">
        <v>0</v>
      </c>
      <c r="E358" s="5">
        <v>150</v>
      </c>
      <c r="F358" s="6">
        <v>0</v>
      </c>
      <c r="G358" t="s" s="3">
        <v>45</v>
      </c>
      <c r="H358" s="5">
        <v>453</v>
      </c>
      <c r="I358" s="7">
        <v>0.21</v>
      </c>
      <c r="J358" s="5">
        <v>1121</v>
      </c>
      <c r="K358" s="5" cm="1">
        <f t="array" ref="K358">ROUND(H358*I358,0)</f>
        <v>95</v>
      </c>
      <c r="L358" s="5" cm="1">
        <f t="array" ref="L358">K358*J358</f>
        <v>106495</v>
      </c>
      <c r="M358" s="5">
        <v>16000</v>
      </c>
      <c r="N358" s="5" cm="1">
        <f t="array" ref="N358">D358*M358</f>
        <v>0</v>
      </c>
      <c r="O358" t="s" s="4">
        <v>18</v>
      </c>
    </row>
    <row r="359" ht="15" customHeight="1">
      <c r="A359" t="s" s="3">
        <v>439</v>
      </c>
      <c r="B359" t="s" s="4">
        <v>437</v>
      </c>
      <c r="C359" s="5">
        <v>447</v>
      </c>
      <c r="D359" s="5">
        <v>0</v>
      </c>
      <c r="E359" s="5">
        <v>150</v>
      </c>
      <c r="F359" s="6">
        <v>0</v>
      </c>
      <c r="G359" t="s" s="3">
        <v>68</v>
      </c>
      <c r="H359" s="5">
        <v>447</v>
      </c>
      <c r="I359" s="7">
        <v>0.21</v>
      </c>
      <c r="J359" s="5">
        <v>1194</v>
      </c>
      <c r="K359" s="5" cm="1">
        <f t="array" ref="K359">ROUND(H359*I359,0)</f>
        <v>94</v>
      </c>
      <c r="L359" s="5" cm="1">
        <f t="array" ref="L359">K359*J359</f>
        <v>112236</v>
      </c>
      <c r="M359" s="5">
        <v>16400</v>
      </c>
      <c r="N359" s="5" cm="1">
        <f t="array" ref="N359">D359*M359</f>
        <v>0</v>
      </c>
      <c r="O359" t="s" s="4">
        <v>18</v>
      </c>
    </row>
    <row r="360" ht="15" customHeight="1">
      <c r="A360" t="s" s="3">
        <v>440</v>
      </c>
      <c r="B360" t="s" s="4">
        <v>437</v>
      </c>
      <c r="C360" s="5">
        <v>360</v>
      </c>
      <c r="D360" s="5">
        <v>0</v>
      </c>
      <c r="E360" s="5">
        <v>150</v>
      </c>
      <c r="F360" s="6">
        <v>0</v>
      </c>
      <c r="G360" t="s" s="3">
        <v>68</v>
      </c>
      <c r="H360" s="5">
        <v>288</v>
      </c>
      <c r="I360" s="7">
        <v>0.22</v>
      </c>
      <c r="J360" s="5">
        <v>1331</v>
      </c>
      <c r="K360" s="5" cm="1">
        <f t="array" ref="K360">ROUND(H360*I360,0)</f>
        <v>63</v>
      </c>
      <c r="L360" s="5" cm="1">
        <f t="array" ref="L360">K360*J360</f>
        <v>83853</v>
      </c>
      <c r="M360" s="5">
        <v>16400</v>
      </c>
      <c r="N360" s="5" cm="1">
        <f t="array" ref="N360">D360*M360</f>
        <v>0</v>
      </c>
      <c r="O360" t="s" s="4">
        <v>18</v>
      </c>
    </row>
    <row r="361" ht="15" customHeight="1">
      <c r="A361" t="s" s="3">
        <v>441</v>
      </c>
      <c r="B361" t="s" s="4">
        <v>437</v>
      </c>
      <c r="C361" s="5">
        <v>330</v>
      </c>
      <c r="D361" s="5">
        <v>0</v>
      </c>
      <c r="E361" s="5">
        <v>150</v>
      </c>
      <c r="F361" s="6">
        <v>0</v>
      </c>
      <c r="G361" t="s" s="3">
        <v>81</v>
      </c>
      <c r="H361" s="5">
        <v>330</v>
      </c>
      <c r="I361" s="7">
        <v>0.21</v>
      </c>
      <c r="J361" s="5">
        <v>1238</v>
      </c>
      <c r="K361" s="5" cm="1">
        <f t="array" ref="K361">ROUND(H361*I361,0)</f>
        <v>69</v>
      </c>
      <c r="L361" s="5" cm="1">
        <f t="array" ref="L361">K361*J361</f>
        <v>85422</v>
      </c>
      <c r="M361" s="5">
        <v>16800</v>
      </c>
      <c r="N361" s="5" cm="1">
        <f t="array" ref="N361">D361*M361</f>
        <v>0</v>
      </c>
      <c r="O361" t="s" s="4">
        <v>18</v>
      </c>
    </row>
    <row r="362" ht="15" customHeight="1">
      <c r="A362" t="s" s="3">
        <v>442</v>
      </c>
      <c r="B362" t="s" s="4">
        <v>437</v>
      </c>
      <c r="C362" s="5">
        <v>405</v>
      </c>
      <c r="D362" s="5">
        <v>0</v>
      </c>
      <c r="E362" s="5">
        <v>150</v>
      </c>
      <c r="F362" s="6">
        <v>0</v>
      </c>
      <c r="G362" t="s" s="3">
        <v>57</v>
      </c>
      <c r="H362" s="5">
        <v>405</v>
      </c>
      <c r="I362" s="7">
        <v>0.22</v>
      </c>
      <c r="J362" s="5">
        <v>1274</v>
      </c>
      <c r="K362" s="5" cm="1">
        <f t="array" ref="K362">ROUND(H362*I362,0)</f>
        <v>89</v>
      </c>
      <c r="L362" s="5" cm="1">
        <f t="array" ref="L362">K362*J362</f>
        <v>113386</v>
      </c>
      <c r="M362" s="5">
        <v>16800</v>
      </c>
      <c r="N362" s="5" cm="1">
        <f t="array" ref="N362">D362*M362</f>
        <v>0</v>
      </c>
      <c r="O362" t="s" s="4">
        <v>18</v>
      </c>
    </row>
    <row r="363" ht="15" customHeight="1">
      <c r="A363" t="s" s="3">
        <v>443</v>
      </c>
      <c r="B363" t="s" s="4">
        <v>437</v>
      </c>
      <c r="C363" s="5">
        <v>463</v>
      </c>
      <c r="D363" s="5">
        <v>0</v>
      </c>
      <c r="E363" s="5">
        <v>150</v>
      </c>
      <c r="F363" s="6">
        <v>0</v>
      </c>
      <c r="G363" t="s" s="3">
        <v>68</v>
      </c>
      <c r="H363" s="5">
        <v>463</v>
      </c>
      <c r="I363" s="7">
        <v>0.23</v>
      </c>
      <c r="J363" s="5">
        <v>1330</v>
      </c>
      <c r="K363" s="5" cm="1">
        <f t="array" ref="K363">ROUND(H363*I363,0)</f>
        <v>106</v>
      </c>
      <c r="L363" s="5" cm="1">
        <f t="array" ref="L363">K363*J363</f>
        <v>140980</v>
      </c>
      <c r="M363" s="5">
        <v>16800</v>
      </c>
      <c r="N363" s="5" cm="1">
        <f t="array" ref="N363">D363*M363</f>
        <v>0</v>
      </c>
      <c r="O363" t="s" s="4">
        <v>18</v>
      </c>
    </row>
    <row r="364" ht="15" customHeight="1">
      <c r="A364" t="s" s="3">
        <v>444</v>
      </c>
      <c r="B364" t="s" s="4">
        <v>437</v>
      </c>
      <c r="C364" s="5">
        <v>330</v>
      </c>
      <c r="D364" s="5">
        <v>0</v>
      </c>
      <c r="E364" s="5">
        <v>150</v>
      </c>
      <c r="F364" s="6">
        <v>0</v>
      </c>
      <c r="G364" t="s" s="3">
        <v>26</v>
      </c>
      <c r="H364" s="5">
        <v>264</v>
      </c>
      <c r="I364" s="7">
        <v>0.23</v>
      </c>
      <c r="J364" s="5">
        <v>1326</v>
      </c>
      <c r="K364" s="5" cm="1">
        <f t="array" ref="K364">ROUND(H364*I364,0)</f>
        <v>61</v>
      </c>
      <c r="L364" s="5" cm="1">
        <f t="array" ref="L364">K364*J364</f>
        <v>80886</v>
      </c>
      <c r="M364" s="5">
        <v>17200</v>
      </c>
      <c r="N364" s="5" cm="1">
        <f t="array" ref="N364">D364*M364</f>
        <v>0</v>
      </c>
      <c r="O364" t="s" s="4">
        <v>18</v>
      </c>
    </row>
    <row r="365" ht="15" customHeight="1">
      <c r="A365" t="s" s="3">
        <v>445</v>
      </c>
      <c r="B365" t="s" s="4">
        <v>437</v>
      </c>
      <c r="C365" s="5">
        <v>448</v>
      </c>
      <c r="D365" s="5">
        <v>0</v>
      </c>
      <c r="E365" s="5">
        <v>150</v>
      </c>
      <c r="F365" s="6">
        <v>0</v>
      </c>
      <c r="G365" t="s" s="3">
        <v>54</v>
      </c>
      <c r="H365" s="5">
        <v>448</v>
      </c>
      <c r="I365" s="7">
        <v>0.24</v>
      </c>
      <c r="J365" s="5">
        <v>1334</v>
      </c>
      <c r="K365" s="5" cm="1">
        <f t="array" ref="K365">ROUND(H365*I365,0)</f>
        <v>108</v>
      </c>
      <c r="L365" s="5" cm="1">
        <f t="array" ref="L365">K365*J365</f>
        <v>144072</v>
      </c>
      <c r="M365" s="5">
        <v>17200</v>
      </c>
      <c r="N365" s="5" cm="1">
        <f t="array" ref="N365">D365*M365</f>
        <v>0</v>
      </c>
      <c r="O365" t="s" s="4">
        <v>18</v>
      </c>
    </row>
    <row r="366" ht="15" customHeight="1">
      <c r="A366" t="s" s="13">
        <v>446</v>
      </c>
      <c r="B366" t="s" s="14">
        <v>437</v>
      </c>
      <c r="C366" s="15">
        <v>332</v>
      </c>
      <c r="D366" s="15">
        <v>13</v>
      </c>
      <c r="E366" s="15">
        <v>150</v>
      </c>
      <c r="F366" s="16" cm="1">
        <f t="array" ref="F366">ROUND(D366/E366,1)</f>
        <v>0.1</v>
      </c>
      <c r="G366" t="s" s="13">
        <v>95</v>
      </c>
      <c r="H366" s="15">
        <v>398</v>
      </c>
      <c r="I366" s="17">
        <v>0.25</v>
      </c>
      <c r="J366" s="15">
        <v>1442</v>
      </c>
      <c r="K366" s="15" cm="1">
        <f t="array" ref="K366">ROUND(H366*I366,0)</f>
        <v>100</v>
      </c>
      <c r="L366" s="15" cm="1">
        <f t="array" ref="L366">K366*J366</f>
        <v>144200</v>
      </c>
      <c r="M366" s="15">
        <v>17600</v>
      </c>
      <c r="N366" s="15" cm="1">
        <f t="array" ref="N366">D366*M366</f>
        <v>228800</v>
      </c>
      <c r="O366" t="s" s="14">
        <v>40</v>
      </c>
    </row>
    <row r="367" ht="15" customHeight="1">
      <c r="A367" t="s" s="13">
        <v>447</v>
      </c>
      <c r="B367" t="s" s="14">
        <v>437</v>
      </c>
      <c r="C367" s="15">
        <v>517</v>
      </c>
      <c r="D367" s="15">
        <v>34</v>
      </c>
      <c r="E367" s="15">
        <v>150</v>
      </c>
      <c r="F367" s="16" cm="1">
        <f t="array" ref="F367">ROUND(D367/E367,1)</f>
        <v>0.2</v>
      </c>
      <c r="G367" t="s" s="13">
        <v>28</v>
      </c>
      <c r="H367" s="15">
        <v>517</v>
      </c>
      <c r="I367" s="17">
        <v>0.24</v>
      </c>
      <c r="J367" s="15">
        <v>1393</v>
      </c>
      <c r="K367" s="15" cm="1">
        <f t="array" ref="K367">ROUND(H367*I367,0)</f>
        <v>124</v>
      </c>
      <c r="L367" s="15" cm="1">
        <f t="array" ref="L367">K367*J367</f>
        <v>172732</v>
      </c>
      <c r="M367" s="15">
        <v>17600</v>
      </c>
      <c r="N367" s="15" cm="1">
        <f t="array" ref="N367">D367*M367</f>
        <v>598400</v>
      </c>
      <c r="O367" t="s" s="14">
        <v>40</v>
      </c>
    </row>
    <row r="368" ht="15" customHeight="1">
      <c r="A368" t="s" s="13">
        <v>448</v>
      </c>
      <c r="B368" t="s" s="14">
        <v>437</v>
      </c>
      <c r="C368" s="15">
        <v>489</v>
      </c>
      <c r="D368" s="15">
        <v>325</v>
      </c>
      <c r="E368" s="15">
        <v>150</v>
      </c>
      <c r="F368" s="16" cm="1">
        <f t="array" ref="F368">ROUND(D368/E368,1)</f>
        <v>2.2</v>
      </c>
      <c r="G368" t="s" s="13">
        <v>63</v>
      </c>
      <c r="H368" s="15">
        <v>489</v>
      </c>
      <c r="I368" s="17">
        <v>0.27</v>
      </c>
      <c r="J368" s="15">
        <v>1466</v>
      </c>
      <c r="K368" s="15" cm="1">
        <f t="array" ref="K368">ROUND(H368*I368,0)</f>
        <v>132</v>
      </c>
      <c r="L368" s="15" cm="1">
        <f t="array" ref="L368">K368*J368</f>
        <v>193512</v>
      </c>
      <c r="M368" s="15">
        <v>18000</v>
      </c>
      <c r="N368" s="15" cm="1">
        <f t="array" ref="N368">D368*M368</f>
        <v>5850000</v>
      </c>
      <c r="O368" t="s" s="14">
        <v>40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8.66667" defaultRowHeight="15" customHeight="1" outlineLevelRow="0" outlineLevelCol="0"/>
  <cols>
    <col min="1" max="1" width="10" style="18" customWidth="1"/>
    <col min="2" max="2" width="20" style="18" customWidth="1"/>
    <col min="3" max="3" width="18" style="18" customWidth="1"/>
    <col min="4" max="5" width="30" style="18" customWidth="1"/>
    <col min="6" max="16384" width="8.67188" style="18" customWidth="1"/>
  </cols>
  <sheetData>
    <row r="1" ht="15" customHeight="1">
      <c r="A1" t="s" s="2">
        <v>449</v>
      </c>
      <c r="B1" t="s" s="2">
        <v>1</v>
      </c>
      <c r="C1" t="s" s="2">
        <v>450</v>
      </c>
      <c r="D1" t="s" s="2">
        <v>451</v>
      </c>
      <c r="E1" t="s" s="2">
        <v>14</v>
      </c>
    </row>
    <row r="2" ht="15" customHeight="1">
      <c r="A2" t="s" s="19">
        <v>452</v>
      </c>
      <c r="B2" t="s" s="20">
        <v>65</v>
      </c>
      <c r="C2" s="21">
        <v>36</v>
      </c>
      <c r="D2" t="s" s="20">
        <v>453</v>
      </c>
      <c r="E2" t="s" s="20">
        <v>454</v>
      </c>
    </row>
    <row r="3" ht="15" customHeight="1">
      <c r="A3" s="22"/>
      <c r="B3" t="s" s="20">
        <v>264</v>
      </c>
      <c r="C3" s="21">
        <v>24</v>
      </c>
      <c r="D3" t="s" s="20">
        <v>455</v>
      </c>
      <c r="E3" t="s" s="20">
        <v>456</v>
      </c>
    </row>
    <row r="4" ht="15" customHeight="1">
      <c r="A4" s="23"/>
      <c r="B4" t="s" s="20">
        <v>250</v>
      </c>
      <c r="C4" s="21">
        <v>30</v>
      </c>
      <c r="D4" t="s" s="20">
        <v>457</v>
      </c>
      <c r="E4" t="s" s="20">
        <v>458</v>
      </c>
    </row>
    <row r="5" ht="15" customHeight="1">
      <c r="A5" t="s" s="19">
        <v>459</v>
      </c>
      <c r="B5" t="s" s="20">
        <v>220</v>
      </c>
      <c r="C5" s="21">
        <v>24</v>
      </c>
      <c r="D5" t="s" s="20">
        <v>460</v>
      </c>
      <c r="E5" t="s" s="20">
        <v>461</v>
      </c>
    </row>
    <row r="6" ht="15" customHeight="1">
      <c r="A6" s="24"/>
      <c r="B6" t="s" s="20">
        <v>235</v>
      </c>
      <c r="C6" s="21">
        <v>18</v>
      </c>
      <c r="D6" t="s" s="20">
        <v>462</v>
      </c>
      <c r="E6" t="s" s="20">
        <v>463</v>
      </c>
    </row>
    <row r="7" ht="15" customHeight="1">
      <c r="A7" t="s" s="19">
        <v>464</v>
      </c>
      <c r="B7" t="s" s="20">
        <v>379</v>
      </c>
      <c r="C7" s="21">
        <v>12</v>
      </c>
      <c r="D7" t="s" s="20">
        <v>465</v>
      </c>
      <c r="E7" t="s" s="20">
        <v>466</v>
      </c>
    </row>
    <row r="8" ht="15" customHeight="1">
      <c r="A8" s="22"/>
      <c r="B8" t="s" s="20">
        <v>363</v>
      </c>
      <c r="C8" s="21">
        <v>10</v>
      </c>
      <c r="D8" t="s" s="20">
        <v>467</v>
      </c>
      <c r="E8" t="s" s="20">
        <v>468</v>
      </c>
    </row>
    <row r="9" ht="15" customHeight="1">
      <c r="A9" s="25"/>
      <c r="B9" t="s" s="20">
        <v>179</v>
      </c>
      <c r="C9" s="21">
        <v>12</v>
      </c>
      <c r="D9" t="s" s="20">
        <v>469</v>
      </c>
      <c r="E9" t="s" s="20">
        <v>470</v>
      </c>
    </row>
    <row r="10" ht="15" customHeight="1">
      <c r="A10" s="23"/>
      <c r="B10" t="s" s="20">
        <v>437</v>
      </c>
      <c r="C10" s="21">
        <v>12</v>
      </c>
      <c r="D10" t="s" s="20">
        <v>471</v>
      </c>
      <c r="E10" t="s" s="20">
        <v>472</v>
      </c>
    </row>
    <row r="11" ht="15" customHeight="1">
      <c r="A11" t="s" s="19">
        <v>459</v>
      </c>
      <c r="B11" t="s" s="20">
        <v>308</v>
      </c>
      <c r="C11" s="21">
        <v>18</v>
      </c>
      <c r="D11" t="s" s="20">
        <v>473</v>
      </c>
      <c r="E11" t="s" s="20">
        <v>474</v>
      </c>
    </row>
    <row r="12" ht="15" customHeight="1">
      <c r="A12" t="s" s="19">
        <v>475</v>
      </c>
      <c r="B12" t="s" s="20">
        <v>350</v>
      </c>
      <c r="C12" s="21">
        <v>24</v>
      </c>
      <c r="D12" t="s" s="20">
        <v>476</v>
      </c>
      <c r="E12" t="s" s="20">
        <v>477</v>
      </c>
    </row>
    <row r="13" ht="15" customHeight="1">
      <c r="A13" t="s" s="19">
        <v>478</v>
      </c>
      <c r="B13" t="s" s="20">
        <v>163</v>
      </c>
      <c r="C13" s="21">
        <v>36</v>
      </c>
      <c r="D13" t="s" s="20">
        <v>479</v>
      </c>
      <c r="E13" t="s" s="20">
        <v>480</v>
      </c>
    </row>
    <row r="14" ht="15" customHeight="1">
      <c r="A14" t="s" s="19">
        <v>464</v>
      </c>
      <c r="B14" t="s" s="20">
        <v>278</v>
      </c>
      <c r="C14" s="21">
        <v>12</v>
      </c>
      <c r="D14" t="s" s="20">
        <v>462</v>
      </c>
      <c r="E14" t="s" s="20">
        <v>481</v>
      </c>
    </row>
    <row r="15" ht="15" customHeight="1">
      <c r="A15" t="s" s="19">
        <v>459</v>
      </c>
      <c r="B15" t="s" s="20">
        <v>85</v>
      </c>
      <c r="C15" s="21">
        <v>18</v>
      </c>
      <c r="D15" t="s" s="20">
        <v>482</v>
      </c>
      <c r="E15" t="s" s="20">
        <v>483</v>
      </c>
    </row>
    <row r="16" ht="15" customHeight="1">
      <c r="A16" t="s" s="19">
        <v>484</v>
      </c>
      <c r="B16" t="s" s="20">
        <v>191</v>
      </c>
      <c r="C16" s="21">
        <v>18</v>
      </c>
      <c r="D16" t="s" s="20">
        <v>485</v>
      </c>
      <c r="E16" t="s" s="20">
        <v>486</v>
      </c>
    </row>
    <row r="17" ht="15" customHeight="1">
      <c r="A17" t="s" s="19">
        <v>459</v>
      </c>
      <c r="B17" t="s" s="20">
        <v>390</v>
      </c>
      <c r="C17" s="21">
        <v>18</v>
      </c>
      <c r="D17" t="s" s="20">
        <v>482</v>
      </c>
      <c r="E17" t="s" s="20">
        <v>487</v>
      </c>
    </row>
    <row r="18" ht="15" customHeight="1">
      <c r="A18" t="s" s="19">
        <v>484</v>
      </c>
      <c r="B18" t="s" s="20">
        <v>336</v>
      </c>
      <c r="C18" s="21">
        <v>18</v>
      </c>
      <c r="D18" t="s" s="20">
        <v>488</v>
      </c>
      <c r="E18" t="s" s="20">
        <v>489</v>
      </c>
    </row>
    <row r="19" ht="15" customHeight="1">
      <c r="A19" t="s" s="19">
        <v>464</v>
      </c>
      <c r="B19" t="s" s="20">
        <v>323</v>
      </c>
      <c r="C19" s="21">
        <v>18</v>
      </c>
      <c r="D19" t="s" s="20">
        <v>490</v>
      </c>
      <c r="E19" t="s" s="20">
        <v>491</v>
      </c>
    </row>
    <row r="20" ht="15" customHeight="1">
      <c r="A20" t="s" s="19">
        <v>492</v>
      </c>
      <c r="B20" t="s" s="20">
        <v>147</v>
      </c>
      <c r="C20" s="21">
        <v>18</v>
      </c>
      <c r="D20" t="s" s="20">
        <v>493</v>
      </c>
      <c r="E20" t="s" s="20">
        <v>494</v>
      </c>
    </row>
    <row r="21" ht="15" customHeight="1">
      <c r="A21" s="24"/>
      <c r="B21" t="s" s="20">
        <v>132</v>
      </c>
      <c r="C21" s="21">
        <v>18</v>
      </c>
      <c r="D21" t="s" s="20">
        <v>488</v>
      </c>
      <c r="E21" t="s" s="20">
        <v>495</v>
      </c>
    </row>
    <row r="22" ht="15" customHeight="1">
      <c r="A22" t="s" s="19">
        <v>496</v>
      </c>
      <c r="B22" t="s" s="20">
        <v>43</v>
      </c>
      <c r="C22" s="21">
        <v>36</v>
      </c>
      <c r="D22" t="s" s="20">
        <v>497</v>
      </c>
      <c r="E22" t="s" s="20">
        <v>498</v>
      </c>
    </row>
    <row r="23" ht="15" customHeight="1">
      <c r="A23" s="24"/>
      <c r="B23" t="s" s="20">
        <v>408</v>
      </c>
      <c r="C23" s="21">
        <v>24</v>
      </c>
      <c r="D23" t="s" s="20">
        <v>499</v>
      </c>
      <c r="E23" t="s" s="20">
        <v>500</v>
      </c>
    </row>
    <row r="24" ht="15" customHeight="1">
      <c r="A24" t="s" s="19">
        <v>459</v>
      </c>
      <c r="B24" t="s" s="20">
        <v>205</v>
      </c>
      <c r="C24" s="21">
        <v>18</v>
      </c>
      <c r="D24" t="s" s="20">
        <v>482</v>
      </c>
      <c r="E24" t="s" s="20">
        <v>501</v>
      </c>
    </row>
    <row r="25" ht="15" customHeight="1">
      <c r="A25" s="22"/>
      <c r="B25" t="s" s="20">
        <v>295</v>
      </c>
      <c r="C25" s="21">
        <v>24</v>
      </c>
      <c r="D25" t="s" s="20">
        <v>502</v>
      </c>
      <c r="E25" t="s" s="20">
        <v>503</v>
      </c>
    </row>
    <row r="26" ht="15" customHeight="1">
      <c r="A26" s="23"/>
      <c r="B26" t="s" s="20">
        <v>119</v>
      </c>
      <c r="C26" s="21">
        <v>24</v>
      </c>
      <c r="D26" t="s" s="20">
        <v>504</v>
      </c>
      <c r="E26" t="s" s="20">
        <v>505</v>
      </c>
    </row>
    <row r="27" ht="15" customHeight="1">
      <c r="A27" t="s" s="19">
        <v>506</v>
      </c>
      <c r="B27" t="s" s="20">
        <v>100</v>
      </c>
      <c r="C27" s="21">
        <v>12</v>
      </c>
      <c r="D27" t="s" s="20">
        <v>507</v>
      </c>
      <c r="E27" t="s" s="20">
        <v>508</v>
      </c>
    </row>
    <row r="28" ht="15" customHeight="1">
      <c r="A28" s="22"/>
      <c r="B28" t="s" s="20">
        <v>16</v>
      </c>
      <c r="C28" s="21">
        <v>12</v>
      </c>
      <c r="D28" t="s" s="20">
        <v>509</v>
      </c>
      <c r="E28" t="s" s="20">
        <v>510</v>
      </c>
    </row>
    <row r="29" ht="15" customHeight="1">
      <c r="A29" s="23"/>
      <c r="B29" t="s" s="20">
        <v>424</v>
      </c>
      <c r="C29" s="21">
        <v>12</v>
      </c>
      <c r="D29" t="s" s="20">
        <v>511</v>
      </c>
      <c r="E29" t="s" s="20">
        <v>512</v>
      </c>
    </row>
  </sheetData>
  <mergeCells count="7">
    <mergeCell ref="A5:A6"/>
    <mergeCell ref="A22:A23"/>
    <mergeCell ref="A7:A10"/>
    <mergeCell ref="A2:A4"/>
    <mergeCell ref="A20:A21"/>
    <mergeCell ref="A24:A26"/>
    <mergeCell ref="A27:A29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